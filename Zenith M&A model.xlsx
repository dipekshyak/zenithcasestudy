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esktop/"/>
    </mc:Choice>
  </mc:AlternateContent>
  <xr:revisionPtr revIDLastSave="0" documentId="8_{CF989C3A-0FFE-9D4D-BAAE-05D19A672BC5}" xr6:coauthVersionLast="47" xr6:coauthVersionMax="47" xr10:uidLastSave="{00000000-0000-0000-0000-000000000000}"/>
  <bookViews>
    <workbookView xWindow="0" yWindow="0" windowWidth="38400" windowHeight="21600" activeTab="5" xr2:uid="{C24C5E5E-C092-1147-AF74-6246BBC20D29}"/>
  </bookViews>
  <sheets>
    <sheet name="Assumptions" sheetId="1" r:id="rId1"/>
    <sheet name="Financials" sheetId="2" r:id="rId2"/>
    <sheet name="WACC_Calc" sheetId="6" r:id="rId3"/>
    <sheet name="Trading Comps" sheetId="3" r:id="rId4"/>
    <sheet name="Precedent Transactions" sheetId="4" r:id="rId5"/>
    <sheet name="DCF Analysis" sheetId="5" r:id="rId6"/>
    <sheet name="Valuation Summary" sheetId="7" r:id="rId7"/>
    <sheet name="Strategic m&amp;A model" sheetId="8" r:id="rId8"/>
    <sheet name="Recap LBO Model" sheetId="9" r:id="rId9"/>
    <sheet name="Strategic sale vs Recap LBO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40" i="9"/>
  <c r="B38" i="9"/>
  <c r="B36" i="9"/>
  <c r="B34" i="9"/>
  <c r="B32" i="9"/>
  <c r="B28" i="9"/>
  <c r="B27" i="9"/>
  <c r="B26" i="9"/>
  <c r="B25" i="9"/>
  <c r="B24" i="9"/>
  <c r="B23" i="9"/>
  <c r="G16" i="9"/>
  <c r="G17" i="9"/>
  <c r="G18" i="9"/>
  <c r="G19" i="9"/>
  <c r="G15" i="9"/>
  <c r="B6" i="9"/>
  <c r="B11" i="9"/>
  <c r="F29" i="8"/>
  <c r="F30" i="8"/>
  <c r="F28" i="8"/>
  <c r="E29" i="8"/>
  <c r="E30" i="8"/>
  <c r="E28" i="8"/>
  <c r="B30" i="8"/>
  <c r="B29" i="8"/>
  <c r="B28" i="8"/>
  <c r="B24" i="8"/>
  <c r="B22" i="8"/>
  <c r="B23" i="8"/>
  <c r="B21" i="8"/>
  <c r="B20" i="8"/>
  <c r="B17" i="8"/>
  <c r="B19" i="8"/>
  <c r="B18" i="8"/>
  <c r="B16" i="8"/>
  <c r="B15" i="8"/>
  <c r="C4" i="8"/>
  <c r="E3" i="7"/>
  <c r="E4" i="7"/>
  <c r="E5" i="7"/>
  <c r="E6" i="7" s="1"/>
  <c r="E7" i="7"/>
  <c r="D7" i="7"/>
  <c r="C7" i="7"/>
  <c r="D6" i="7"/>
  <c r="C6" i="7"/>
  <c r="D5" i="7"/>
  <c r="C5" i="7"/>
  <c r="D21" i="5"/>
  <c r="D20" i="5"/>
  <c r="D19" i="5"/>
  <c r="B16" i="5"/>
  <c r="D4" i="7"/>
  <c r="C4" i="7"/>
  <c r="D3" i="7"/>
  <c r="C3" i="7"/>
  <c r="B14" i="5"/>
  <c r="B13" i="5"/>
  <c r="C11" i="6"/>
  <c r="B15" i="5"/>
  <c r="F10" i="5"/>
  <c r="E10" i="5"/>
  <c r="D10" i="5"/>
  <c r="C10" i="5"/>
  <c r="B10" i="5"/>
  <c r="C6" i="6"/>
  <c r="D8" i="5"/>
  <c r="E8" i="5"/>
  <c r="F8" i="5"/>
  <c r="C8" i="5"/>
  <c r="C7" i="5"/>
  <c r="D7" i="5"/>
  <c r="E7" i="5"/>
  <c r="F7" i="5"/>
  <c r="C6" i="5"/>
  <c r="D6" i="5"/>
  <c r="E6" i="5"/>
  <c r="F6" i="5"/>
  <c r="C3" i="5"/>
  <c r="C4" i="5" s="1"/>
  <c r="C5" i="5" s="1"/>
  <c r="D3" i="5"/>
  <c r="D4" i="5" s="1"/>
  <c r="E3" i="5"/>
  <c r="F3" i="5"/>
  <c r="B6" i="5"/>
  <c r="B7" i="5"/>
  <c r="B3" i="5"/>
  <c r="D16" i="4"/>
  <c r="D15" i="4"/>
  <c r="D14" i="4"/>
  <c r="B10" i="4"/>
  <c r="B11" i="4"/>
  <c r="B16" i="3"/>
  <c r="D14" i="3"/>
  <c r="D13" i="3"/>
  <c r="B14" i="3"/>
  <c r="B13" i="3"/>
  <c r="C10" i="3"/>
  <c r="B10" i="3"/>
  <c r="K4" i="3"/>
  <c r="K5" i="3"/>
  <c r="K6" i="3"/>
  <c r="K7" i="3"/>
  <c r="K3" i="3"/>
  <c r="J4" i="3"/>
  <c r="J5" i="3"/>
  <c r="J6" i="3"/>
  <c r="J7" i="3"/>
  <c r="J3" i="3"/>
  <c r="G4" i="3"/>
  <c r="G5" i="3"/>
  <c r="G6" i="3"/>
  <c r="G7" i="3"/>
  <c r="G3" i="3"/>
  <c r="D4" i="3"/>
  <c r="D5" i="3"/>
  <c r="D6" i="3"/>
  <c r="D7" i="3"/>
  <c r="D3" i="3"/>
  <c r="C4" i="2"/>
  <c r="B4" i="2"/>
  <c r="B3" i="2"/>
  <c r="C9" i="5" l="1"/>
  <c r="C11" i="5" s="1"/>
  <c r="B4" i="5"/>
  <c r="B5" i="5" s="1"/>
  <c r="B9" i="5" s="1"/>
  <c r="B11" i="5" s="1"/>
  <c r="D5" i="5"/>
  <c r="D9" i="5" s="1"/>
  <c r="D11" i="5" s="1"/>
  <c r="F4" i="5"/>
  <c r="F5" i="5" s="1"/>
  <c r="F9" i="5" s="1"/>
  <c r="F11" i="5" s="1"/>
  <c r="E4" i="5"/>
  <c r="E5" i="5" s="1"/>
  <c r="E9" i="5" s="1"/>
  <c r="E11" i="5" s="1"/>
  <c r="C3" i="2"/>
  <c r="B5" i="2"/>
  <c r="B6" i="2"/>
  <c r="B8" i="2"/>
  <c r="B7" i="2" l="1"/>
  <c r="B9" i="2" s="1"/>
  <c r="D3" i="2"/>
  <c r="C6" i="2"/>
  <c r="C8" i="2"/>
  <c r="C5" i="2"/>
  <c r="C9" i="2" s="1"/>
  <c r="C10" i="2" l="1"/>
  <c r="C11" i="2" s="1"/>
  <c r="D6" i="2"/>
  <c r="E3" i="2"/>
  <c r="D8" i="2"/>
  <c r="D4" i="2"/>
  <c r="D5" i="2"/>
  <c r="D7" i="2" s="1"/>
  <c r="D9" i="2" s="1"/>
  <c r="D10" i="2" s="1"/>
  <c r="D11" i="2" s="1"/>
  <c r="B10" i="2"/>
  <c r="B11" i="2" s="1"/>
  <c r="E6" i="2" l="1"/>
  <c r="F3" i="2"/>
  <c r="E8" i="2"/>
  <c r="E4" i="2"/>
  <c r="E5" i="2" s="1"/>
  <c r="F6" i="2" l="1"/>
  <c r="F8" i="2"/>
  <c r="F4" i="2"/>
  <c r="F5" i="2" s="1"/>
  <c r="F7" i="2" s="1"/>
  <c r="E7" i="2"/>
  <c r="E9" i="2" s="1"/>
  <c r="E10" i="2" s="1"/>
  <c r="E11" i="2" s="1"/>
  <c r="F9" i="2" l="1"/>
  <c r="F10" i="2"/>
  <c r="F11" i="2"/>
</calcChain>
</file>

<file path=xl/sharedStrings.xml><?xml version="1.0" encoding="utf-8"?>
<sst xmlns="http://schemas.openxmlformats.org/spreadsheetml/2006/main" count="328" uniqueCount="270">
  <si>
    <t>ZENITH M&amp;A MODEL - ASSUMPTIONS</t>
  </si>
  <si>
    <t>Thing</t>
  </si>
  <si>
    <t>Value</t>
  </si>
  <si>
    <t>Meaning</t>
  </si>
  <si>
    <t>Revenue (sales)</t>
  </si>
  <si>
    <t>Gross Margin</t>
  </si>
  <si>
    <t>Operating Expenses</t>
  </si>
  <si>
    <t>D&amp;A</t>
  </si>
  <si>
    <t>CapEx</t>
  </si>
  <si>
    <t>Working Capital</t>
  </si>
  <si>
    <t>Tax Rate</t>
  </si>
  <si>
    <t>Revenue Growth</t>
  </si>
  <si>
    <t>54%, 52%, 50%, 49%, 48%</t>
  </si>
  <si>
    <t>Zenith makes $280M this year</t>
  </si>
  <si>
    <t>Keeps 72¢ per $1 earned</t>
  </si>
  <si>
    <t>Spends 54¢ per $1 to run the business</t>
  </si>
  <si>
    <t>Equipment/software wearing out</t>
  </si>
  <si>
    <t>Buys new tools &amp; tech</t>
  </si>
  <si>
    <t>Short-term cash used</t>
  </si>
  <si>
    <t>Pays this to government</t>
  </si>
  <si>
    <t>OpEx %</t>
  </si>
  <si>
    <t xml:space="preserve">     12%, 11%, 10%, 9%, 8%</t>
  </si>
  <si>
    <t>Grows slower each year</t>
  </si>
  <si>
    <t>Becomes more efficient</t>
  </si>
  <si>
    <t>5-Year Growth Assumptions</t>
  </si>
  <si>
    <t>Year</t>
  </si>
  <si>
    <t xml:space="preserve">         All figures in $ millions. Percentages are linked to future forecast tabs.</t>
  </si>
  <si>
    <t>Zenith – Cost of Capital (WACC)</t>
  </si>
  <si>
    <t>Line Item</t>
  </si>
  <si>
    <t>Year 1</t>
  </si>
  <si>
    <t>Year 2</t>
  </si>
  <si>
    <t>Year 3</t>
  </si>
  <si>
    <t>Year 4</t>
  </si>
  <si>
    <t>Year 5</t>
  </si>
  <si>
    <t>Gross Profit</t>
  </si>
  <si>
    <t>EBITDA</t>
  </si>
  <si>
    <t xml:space="preserve">EBIT </t>
  </si>
  <si>
    <t>Taxes(25%)</t>
  </si>
  <si>
    <t>Net Income</t>
  </si>
  <si>
    <t>Revenue($M)</t>
  </si>
  <si>
    <t>COGS(28%)</t>
  </si>
  <si>
    <t>D&amp;A(3%)</t>
  </si>
  <si>
    <t>Company</t>
  </si>
  <si>
    <t>Shares (M)</t>
  </si>
  <si>
    <t>Equity Value ($M)</t>
  </si>
  <si>
    <t>Debt</t>
  </si>
  <si>
    <t>Cash</t>
  </si>
  <si>
    <t>Enterprise Value (EV)</t>
  </si>
  <si>
    <t>Revenue</t>
  </si>
  <si>
    <t>EV/Revenue</t>
  </si>
  <si>
    <t>EV/EBITDA</t>
  </si>
  <si>
    <t>Stock Price ($)</t>
  </si>
  <si>
    <t>Trading Comparables - SaaS (Training set )</t>
  </si>
  <si>
    <t>Salesforce</t>
  </si>
  <si>
    <t>Workday</t>
  </si>
  <si>
    <t>ServiceNow</t>
  </si>
  <si>
    <t>Adobe</t>
  </si>
  <si>
    <t>Datadog</t>
  </si>
  <si>
    <t>Metric</t>
  </si>
  <si>
    <t>Median</t>
  </si>
  <si>
    <t xml:space="preserve">Company </t>
  </si>
  <si>
    <t>Zenith Value($M)</t>
  </si>
  <si>
    <t>Median Multiple</t>
  </si>
  <si>
    <t>Implied Enterprise Value ($M)</t>
  </si>
  <si>
    <t>Average value</t>
  </si>
  <si>
    <t>This suggest Zenith's valuation range is about 2.8B which is rougly 10-11x revenue and 49x EBITDA with typical SaaS peers.</t>
  </si>
  <si>
    <t>Zenith SaaS – Precedent Transactions (M&amp;A Comparables)</t>
  </si>
  <si>
    <t>Company (Target)</t>
  </si>
  <si>
    <t>Acquirer</t>
  </si>
  <si>
    <t>Deal Value ($M)</t>
  </si>
  <si>
    <t>Revenue ($M)</t>
  </si>
  <si>
    <t>EBITDA($M)</t>
  </si>
  <si>
    <t>Slack</t>
  </si>
  <si>
    <t>Tableau</t>
  </si>
  <si>
    <t>Mulesoft</t>
  </si>
  <si>
    <t>Marketo</t>
  </si>
  <si>
    <t>Qualtrics</t>
  </si>
  <si>
    <t>-</t>
  </si>
  <si>
    <t>EvV/EBITDA</t>
  </si>
  <si>
    <t>Average Value</t>
  </si>
  <si>
    <t>Based on recent SaaS M&amp;A deals , Zenith’s implied enterprise value ranges between $4.9B and $5.6B, with an average of ~$5.3B.This is higher than the Trading Comps valuation (~$2.8B), reflecting the premium buyers pay for full ownership in acquisitions.</t>
  </si>
  <si>
    <t>Zenith SaaS – Discounted Cash Flow (DCF) Valuation</t>
  </si>
  <si>
    <t>Item</t>
  </si>
  <si>
    <t>EBIT($M)</t>
  </si>
  <si>
    <t>Tax(25%)</t>
  </si>
  <si>
    <t>NOPAT (EBIT -Tax)</t>
  </si>
  <si>
    <t>Change in Working Captial</t>
  </si>
  <si>
    <t>Free Cash Flow</t>
  </si>
  <si>
    <t>Discount Factor</t>
  </si>
  <si>
    <t>Present Value of FCF</t>
  </si>
  <si>
    <t>Zenith SaaS - Weighted Average Cost of Capital (WACC)</t>
  </si>
  <si>
    <t>Input</t>
  </si>
  <si>
    <t>Symbol</t>
  </si>
  <si>
    <t>Risk-Free Rate</t>
  </si>
  <si>
    <t>Rf</t>
  </si>
  <si>
    <t>Market-Risk Premium</t>
  </si>
  <si>
    <t>Beta</t>
  </si>
  <si>
    <t>CAPM</t>
  </si>
  <si>
    <t>Cost of Debt</t>
  </si>
  <si>
    <t>Equity Weight</t>
  </si>
  <si>
    <t>Debt Weight</t>
  </si>
  <si>
    <t>MRP</t>
  </si>
  <si>
    <t>Re</t>
  </si>
  <si>
    <t>Rd</t>
  </si>
  <si>
    <t>T</t>
  </si>
  <si>
    <t>E/(D+E)</t>
  </si>
  <si>
    <t>D/(D+E)</t>
  </si>
  <si>
    <t>WACC</t>
  </si>
  <si>
    <t>Total PV of 5 years</t>
  </si>
  <si>
    <t>Terminal Value</t>
  </si>
  <si>
    <t>Taking g=3%</t>
  </si>
  <si>
    <t>Present Value of TV</t>
  </si>
  <si>
    <t>All Values in $M</t>
  </si>
  <si>
    <t>Zenith SaaS – Valuation Summary &amp; Recommendation</t>
  </si>
  <si>
    <t>Method</t>
  </si>
  <si>
    <t>Valuation source</t>
  </si>
  <si>
    <t>Midpoint Enterprise Value($M)</t>
  </si>
  <si>
    <t>Trading Comparables</t>
  </si>
  <si>
    <t>Precedent Transactions</t>
  </si>
  <si>
    <t>Market multiples of SaaS peers</t>
  </si>
  <si>
    <t>M&amp;A deal values for SaaS companies</t>
  </si>
  <si>
    <t>Fiture Cash flow based valuation</t>
  </si>
  <si>
    <t>Equal-Weighted</t>
  </si>
  <si>
    <t>Low($M)</t>
  </si>
  <si>
    <t>High($M)</t>
  </si>
  <si>
    <t>Enterprise Value</t>
  </si>
  <si>
    <t>Scenario</t>
  </si>
  <si>
    <t>g(%)</t>
  </si>
  <si>
    <t>Low DCF</t>
  </si>
  <si>
    <t>Base DCF</t>
  </si>
  <si>
    <t>High DCF</t>
  </si>
  <si>
    <t>Result</t>
  </si>
  <si>
    <t xml:space="preserve">Weighted Value </t>
  </si>
  <si>
    <t>Average</t>
  </si>
  <si>
    <t>DCF</t>
  </si>
  <si>
    <t>50% Precedent, 35% Comps, 15% DCF</t>
  </si>
  <si>
    <t>Strategic M&amp;A Model – Salesforce Acquisition of Zenith SaaS</t>
  </si>
  <si>
    <t>Buyer(Salesforce)</t>
  </si>
  <si>
    <t>Target(Zenith)</t>
  </si>
  <si>
    <t>EPS</t>
  </si>
  <si>
    <t>Shares Outstanding</t>
  </si>
  <si>
    <t>Deal Value</t>
  </si>
  <si>
    <t>Book Equity</t>
  </si>
  <si>
    <t>Goodwill</t>
  </si>
  <si>
    <t>Goodwill Amortization Period</t>
  </si>
  <si>
    <t>Annual Amortization</t>
  </si>
  <si>
    <t>Integration Costs</t>
  </si>
  <si>
    <t xml:space="preserve">                     $2.4B (cash)</t>
  </si>
  <si>
    <t xml:space="preserve">                                                                       -</t>
  </si>
  <si>
    <t xml:space="preserve">                                          - </t>
  </si>
  <si>
    <t>($M)</t>
  </si>
  <si>
    <t>$0.63 (31.5M NI/ 50M Shares)</t>
  </si>
  <si>
    <t>Year 1 Pro Forma Section</t>
  </si>
  <si>
    <t>Buyer Standalone Net Income</t>
  </si>
  <si>
    <t>Target Net Income</t>
  </si>
  <si>
    <t>Combined Pre-Amortization</t>
  </si>
  <si>
    <t>Less: Goodwill Amortization</t>
  </si>
  <si>
    <t>Less: Integration Costs</t>
  </si>
  <si>
    <t>Pro Forma Net Income</t>
  </si>
  <si>
    <t>Combined shares Outstanding</t>
  </si>
  <si>
    <t>Buyer Standalone EPS</t>
  </si>
  <si>
    <t>EPS Change</t>
  </si>
  <si>
    <t>Pro Forma EPS</t>
  </si>
  <si>
    <t>3- Year EPS Bridge</t>
  </si>
  <si>
    <t>Stanalone EPS</t>
  </si>
  <si>
    <t>Zenith Growth + Synergies</t>
  </si>
  <si>
    <t>Amortization &amp; Integration impact</t>
  </si>
  <si>
    <t>Dilution</t>
  </si>
  <si>
    <t xml:space="preserve">                                                          7  years</t>
  </si>
  <si>
    <t>Zenith SaaS – Leveraged Recap (LBO) Model</t>
  </si>
  <si>
    <t>Amount ($ M)</t>
  </si>
  <si>
    <t>Founder dividend (cash out)</t>
  </si>
  <si>
    <t>Transaction fees (legal, banking)</t>
  </si>
  <si>
    <t>Cash retained (on balance sheet)</t>
  </si>
  <si>
    <t>Total</t>
  </si>
  <si>
    <t>Sources</t>
  </si>
  <si>
    <t>PE equity investment</t>
  </si>
  <si>
    <t>Debt financing (6%)</t>
  </si>
  <si>
    <t>Debt Schedule (5-Year Hold)</t>
  </si>
  <si>
    <t>Opening Debt</t>
  </si>
  <si>
    <t>Interest (6%)</t>
  </si>
  <si>
    <t>Debt Paydown</t>
  </si>
  <si>
    <t>Closing Debt</t>
  </si>
  <si>
    <t>Leverage</t>
  </si>
  <si>
    <t>Leverage drops from ~4 × to ~1.6 × — healthy de-leveraging.</t>
  </si>
  <si>
    <t>Pro Forma P&amp;L (Impact of Debt)</t>
  </si>
  <si>
    <t>EBITDA (Year 1)</t>
  </si>
  <si>
    <t>Less: Interest Expense</t>
  </si>
  <si>
    <t>EBT</t>
  </si>
  <si>
    <t>Taxes (25%)</t>
  </si>
  <si>
    <t>Free Cash Flow (approx.)</t>
  </si>
  <si>
    <t>Exit Analysis (Year 5)</t>
  </si>
  <si>
    <t>Year 5 EBITDA</t>
  </si>
  <si>
    <t>Exit multiple</t>
  </si>
  <si>
    <t>Enterprise Value (Exit</t>
  </si>
  <si>
    <t>Less: Debt (Year 5)</t>
  </si>
  <si>
    <t>Equity Value (Exit)</t>
  </si>
  <si>
    <t>PE ownership</t>
  </si>
  <si>
    <t>PE proceeds</t>
  </si>
  <si>
    <t>Initial PE investment</t>
  </si>
  <si>
    <t>Money Multiple</t>
  </si>
  <si>
    <t>(assumed 9x)</t>
  </si>
  <si>
    <t>Zenith SaaS – Strategic Sale vs. Leveraged Recap Comparison</t>
  </si>
  <si>
    <t>Factor</t>
  </si>
  <si>
    <t>Strategic Sale</t>
  </si>
  <si>
    <t>Leveraged Recap</t>
  </si>
  <si>
    <t>Founder Liquidity</t>
  </si>
  <si>
    <t>Full and immediate (~$1.44 B)</t>
  </si>
  <si>
    <t>Partial ($700 M cash + 50% equity retained)</t>
  </si>
  <si>
    <t>Timing</t>
  </si>
  <si>
    <t>4–6 months to close</t>
  </si>
  <si>
    <t>3–4 months to close + 5-year hold</t>
  </si>
  <si>
    <t>Risk Profile</t>
  </si>
  <si>
    <t>Low (cash deal, no leverage)</t>
  </si>
  <si>
    <t>High (leverage, market risk)</t>
  </si>
  <si>
    <t>Upside</t>
  </si>
  <si>
    <t>None (founders exit)</t>
  </si>
  <si>
    <t>Significant if company grows + multiples hold</t>
  </si>
  <si>
    <t>PE IRR (Base)</t>
  </si>
  <si>
    <t>PE IRR (Bull)</t>
  </si>
  <si>
    <t>N/A</t>
  </si>
  <si>
    <t>~8–10 % → unacceptable</t>
  </si>
  <si>
    <t>~15–20 % → acceptable only if market stays strong</t>
  </si>
  <si>
    <t>Downside Risk</t>
  </si>
  <si>
    <t>Minimal (buyer absorbs risk)</t>
  </si>
  <si>
    <t>Severe (&gt; 90 % loss in recession)</t>
  </si>
  <si>
    <t>Control</t>
  </si>
  <si>
    <t>Lost (buyer integration)</t>
  </si>
  <si>
    <t>Retained (PE partnership)</t>
  </si>
  <si>
    <t>Strategic Fit</t>
  </si>
  <si>
    <t>Synergies realized (~$7–8 M EBITDA savings)</t>
  </si>
  <si>
    <t>Must grow organically to create value</t>
  </si>
  <si>
    <t>Market Timing</t>
  </si>
  <si>
    <t>Favorable → buyers active</t>
  </si>
  <si>
    <t>Risky → rates high, multiples compressed</t>
  </si>
  <si>
    <t>Risk Analysis Tab</t>
  </si>
  <si>
    <t>Risk Type</t>
  </si>
  <si>
    <t>Strategic Sale Risks</t>
  </si>
  <si>
    <t>Recap Risks</t>
  </si>
  <si>
    <t>Integration</t>
  </si>
  <si>
    <t>Financial</t>
  </si>
  <si>
    <t>Market</t>
  </si>
  <si>
    <t>Downside</t>
  </si>
  <si>
    <t>Cultural mismatch, key employee turnover</t>
  </si>
  <si>
    <t>Market multiples could compress before close</t>
  </si>
  <si>
    <t>Buyer pays cash — low risk to founders</t>
  </si>
  <si>
    <t>Slight delay risk (~6 mo to close)</t>
  </si>
  <si>
    <t>None (founders fully cashed out)</t>
  </si>
  <si>
    <t>High execution risk from debt burden</t>
  </si>
  <si>
    <t>Must sustain 8 % growth for 5 yrs</t>
  </si>
  <si>
    <t>Interest rate rise → higher cost of debt</t>
  </si>
  <si>
    <t>Multiple compression (9× → 6×) crushes returns</t>
  </si>
  <si>
    <t>PE loses &gt; 90 % in recession</t>
  </si>
  <si>
    <t>Recommendation Summary</t>
  </si>
  <si>
    <t>Detail</t>
  </si>
  <si>
    <t>Likely Buyer</t>
  </si>
  <si>
    <t>Salesforce / ServiceNow / Adobe</t>
  </si>
  <si>
    <t>Deal Structure</t>
  </si>
  <si>
    <t>All-cash acquisition</t>
  </si>
  <si>
    <t>Deal Price (Target)</t>
  </si>
  <si>
    <t>~$2.4 B</t>
  </si>
  <si>
    <t>Founder Proceeds</t>
  </si>
  <si>
    <t>~$1.44 B (60 % ownership)</t>
  </si>
  <si>
    <t>Timeline</t>
  </si>
  <si>
    <t>4–6 months</t>
  </si>
  <si>
    <t>Risk</t>
  </si>
  <si>
    <t>Low – no leverage, high market liquidity</t>
  </si>
  <si>
    <t>Rationale</t>
  </si>
  <si>
    <t>Certainty of value, immediate liquidity, no execution risk, synergies realized ($7–8 M EBITDA savings).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</si>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</sst>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"/>
    <numFmt numFmtId="166" formatCode="0.000%"/>
    <numFmt numFmtId="167" formatCode="_([$$-409]* #,##0.00_);_([$$-409]* \(#,##0.00\);_([$$-409]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Times New Roman"/>
      <family val="1"/>
    </font>
    <font>
      <b/>
      <sz val="12"/>
      <color theme="1"/>
      <name val="Aptos Narrow (Body)"/>
    </font>
    <font>
      <sz val="12"/>
      <color theme="1"/>
      <name val="Arial Hebrew"/>
      <charset val="177"/>
    </font>
    <font>
      <b/>
      <sz val="14"/>
      <color theme="1"/>
      <name val="Arial Hebrew"/>
      <charset val="177"/>
    </font>
    <font>
      <b/>
      <sz val="12"/>
      <color theme="1"/>
      <name val="Arial Hebrew"/>
      <charset val="177"/>
    </font>
    <font>
      <sz val="12"/>
      <color theme="3" tint="0.499984740745262"/>
      <name val="Aptos Narrow"/>
      <family val="2"/>
      <scheme val="minor"/>
    </font>
    <font>
      <b/>
      <i/>
      <sz val="12"/>
      <color theme="1"/>
      <name val="Times New Roman"/>
      <family val="1"/>
    </font>
    <font>
      <b/>
      <i/>
      <sz val="12"/>
      <color theme="1"/>
      <name val="Aptos Narrow"/>
      <scheme val="minor"/>
    </font>
    <font>
      <sz val="12"/>
      <color theme="6" tint="0.59999389629810485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sz val="12"/>
      <color theme="3" tint="0.749992370372631"/>
      <name val="Aptos Narrow"/>
      <family val="2"/>
      <scheme val="minor"/>
    </font>
    <font>
      <sz val="12"/>
      <color theme="5" tint="0.59999389629810485"/>
      <name val="Aptos Narrow"/>
      <family val="2"/>
      <scheme val="minor"/>
    </font>
    <font>
      <b/>
      <i/>
      <sz val="9"/>
      <color theme="1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4" fillId="2" borderId="1" xfId="0" applyFont="1" applyFill="1" applyBorder="1"/>
    <xf numFmtId="9" fontId="0" fillId="3" borderId="1" xfId="0" applyNumberFormat="1" applyFill="1" applyBorder="1"/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3" borderId="1" xfId="1" applyNumberFormat="1" applyFon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4" fontId="5" fillId="0" borderId="1" xfId="1" applyFont="1" applyBorder="1"/>
    <xf numFmtId="44" fontId="5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5" fillId="0" borderId="1" xfId="0" applyFont="1" applyBorder="1"/>
    <xf numFmtId="0" fontId="7" fillId="6" borderId="4" xfId="0" applyFont="1" applyFill="1" applyBorder="1"/>
    <xf numFmtId="44" fontId="7" fillId="6" borderId="4" xfId="0" applyNumberFormat="1" applyFont="1" applyFill="1" applyBorder="1"/>
    <xf numFmtId="0" fontId="5" fillId="0" borderId="3" xfId="0" applyFont="1" applyBorder="1"/>
    <xf numFmtId="44" fontId="5" fillId="0" borderId="3" xfId="0" applyNumberFormat="1" applyFont="1" applyBorder="1"/>
    <xf numFmtId="0" fontId="0" fillId="0" borderId="1" xfId="0" applyBorder="1"/>
    <xf numFmtId="44" fontId="0" fillId="0" borderId="1" xfId="0" applyNumberFormat="1" applyBorder="1"/>
    <xf numFmtId="44" fontId="8" fillId="0" borderId="1" xfId="0" applyNumberFormat="1" applyFont="1" applyBorder="1"/>
    <xf numFmtId="44" fontId="0" fillId="0" borderId="1" xfId="1" applyFont="1" applyBorder="1"/>
    <xf numFmtId="0" fontId="0" fillId="4" borderId="1" xfId="0" applyFill="1" applyBorder="1"/>
    <xf numFmtId="0" fontId="2" fillId="0" borderId="1" xfId="0" applyFont="1" applyBorder="1"/>
    <xf numFmtId="0" fontId="2" fillId="7" borderId="1" xfId="0" applyFont="1" applyFill="1" applyBorder="1"/>
    <xf numFmtId="44" fontId="2" fillId="7" borderId="1" xfId="0" applyNumberFormat="1" applyFont="1" applyFill="1" applyBorder="1"/>
    <xf numFmtId="165" fontId="0" fillId="0" borderId="1" xfId="0" applyNumberFormat="1" applyBorder="1"/>
    <xf numFmtId="0" fontId="0" fillId="0" borderId="3" xfId="0" applyBorder="1"/>
    <xf numFmtId="44" fontId="0" fillId="0" borderId="3" xfId="0" applyNumberFormat="1" applyBorder="1"/>
    <xf numFmtId="0" fontId="0" fillId="0" borderId="4" xfId="0" applyBorder="1"/>
    <xf numFmtId="44" fontId="0" fillId="0" borderId="4" xfId="0" applyNumberFormat="1" applyBorder="1"/>
    <xf numFmtId="44" fontId="8" fillId="0" borderId="1" xfId="1" applyFont="1" applyBorder="1"/>
    <xf numFmtId="44" fontId="8" fillId="0" borderId="3" xfId="1" applyFont="1" applyBorder="1"/>
    <xf numFmtId="0" fontId="10" fillId="4" borderId="0" xfId="0" applyFont="1" applyFill="1"/>
    <xf numFmtId="0" fontId="0" fillId="2" borderId="0" xfId="0" applyFill="1"/>
    <xf numFmtId="10" fontId="0" fillId="0" borderId="1" xfId="0" applyNumberFormat="1" applyBorder="1"/>
    <xf numFmtId="166" fontId="0" fillId="0" borderId="1" xfId="0" applyNumberFormat="1" applyBorder="1"/>
    <xf numFmtId="9" fontId="0" fillId="0" borderId="1" xfId="0" applyNumberFormat="1" applyBorder="1"/>
    <xf numFmtId="9" fontId="0" fillId="0" borderId="3" xfId="0" applyNumberFormat="1" applyBorder="1"/>
    <xf numFmtId="166" fontId="0" fillId="0" borderId="4" xfId="0" applyNumberFormat="1" applyBorder="1"/>
    <xf numFmtId="0" fontId="0" fillId="4" borderId="0" xfId="0" applyFill="1" applyAlignment="1">
      <alignment horizontal="center"/>
    </xf>
    <xf numFmtId="0" fontId="0" fillId="8" borderId="5" xfId="0" applyFill="1" applyBorder="1"/>
    <xf numFmtId="44" fontId="0" fillId="8" borderId="5" xfId="0" applyNumberFormat="1" applyFill="1" applyBorder="1"/>
    <xf numFmtId="0" fontId="8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0" xfId="0" applyFont="1" applyAlignment="1">
      <alignment horizontal="center" wrapText="1"/>
    </xf>
    <xf numFmtId="8" fontId="0" fillId="0" borderId="1" xfId="0" applyNumberFormat="1" applyBorder="1"/>
    <xf numFmtId="6" fontId="0" fillId="0" borderId="1" xfId="1" applyNumberFormat="1" applyFont="1" applyBorder="1"/>
    <xf numFmtId="6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wrapText="1"/>
    </xf>
    <xf numFmtId="167" fontId="0" fillId="0" borderId="1" xfId="0" applyNumberFormat="1" applyBorder="1"/>
    <xf numFmtId="0" fontId="3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2019777503090235"/>
          <c:y val="2.9411764705882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'Valuation Summary'!$E$2</c:f>
              <c:strCache>
                <c:ptCount val="1"/>
                <c:pt idx="0">
                  <c:v>Midpoint Enterprise Value($M)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'Valuation Summary'!$A$3:$A$7</c:f>
              <c:strCache>
                <c:ptCount val="5"/>
                <c:pt idx="0">
                  <c:v>Trading Comparables</c:v>
                </c:pt>
                <c:pt idx="1">
                  <c:v>Precedent Transactions</c:v>
                </c:pt>
                <c:pt idx="2">
                  <c:v>DCF</c:v>
                </c:pt>
                <c:pt idx="3">
                  <c:v>Average</c:v>
                </c:pt>
                <c:pt idx="4">
                  <c:v>Weighted Value </c:v>
                </c:pt>
              </c:strCache>
            </c:strRef>
          </c:cat>
          <c:val>
            <c:numRef>
              <c:f>'Valuation Summary'!$E$3:$E$7</c:f>
              <c:numCache>
                <c:formatCode>_("$"* #,##0.00_);_("$"* \(#,##0.00\);_("$"* "-"??_);_(@_)</c:formatCode>
                <c:ptCount val="5"/>
                <c:pt idx="0">
                  <c:v>2831.3599999999997</c:v>
                </c:pt>
                <c:pt idx="1">
                  <c:v>5273.38</c:v>
                </c:pt>
                <c:pt idx="2">
                  <c:v>880.20188438518528</c:v>
                </c:pt>
                <c:pt idx="3">
                  <c:v>2994.980628128395</c:v>
                </c:pt>
                <c:pt idx="4">
                  <c:v>3759.6962826577774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6-0F42-B49D-E1BA6FD9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19840096"/>
        <c:axId val="1919737888"/>
      </c:barChart>
      <c:catAx>
        <c:axId val="191984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37888"/>
        <c:crosses val="autoZero"/>
        <c:auto val="1"/>
        <c:lblAlgn val="ctr"/>
        <c:lblOffset val="100"/>
        <c:noMultiLvlLbl val="0"/>
      </c:catAx>
      <c:valAx>
        <c:axId val="191973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9</xdr:row>
      <xdr:rowOff>25400</xdr:rowOff>
    </xdr:from>
    <xdr:to>
      <xdr:col>2</xdr:col>
      <xdr:colOff>1231900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8D264-4ADA-576E-39C8-C9E180A1C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27</xdr:row>
      <xdr:rowOff>0</xdr:rowOff>
    </xdr:from>
    <xdr:to>
      <xdr:col>3</xdr:col>
      <xdr:colOff>38100</xdr:colOff>
      <xdr:row>33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777C1-24F6-9557-7677-B4A9972C0C68}"/>
            </a:ext>
          </a:extLst>
        </xdr:cNvPr>
        <xdr:cNvSpPr txBox="1"/>
      </xdr:nvSpPr>
      <xdr:spPr>
        <a:xfrm>
          <a:off x="88900" y="5486400"/>
          <a:ext cx="5549900" cy="124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Interpretation:</a:t>
          </a:r>
          <a:b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Zenith’s valuation varies significantly depending on the approach:</a:t>
          </a:r>
        </a:p>
        <a:p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DCF ($0.8B) provides a conservative, intrinsic cash-flow-based value.</a:t>
          </a:r>
        </a:p>
        <a:p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Trading Comps ($2.8B) reflect market-level pricing for similar SaaS peers.</a:t>
          </a:r>
        </a:p>
        <a:p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Precedent Transactions ($5.2B) capture the premium paid by strategic acquirers.</a:t>
          </a:r>
        </a:p>
        <a:p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The weighted valuation of ~$3.8B represents the most balanced estimate and suggests that a strategic sale around $5.0–5.5B would maximize value for founders while minimizing future execution risk.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31</xdr:row>
      <xdr:rowOff>0</xdr:rowOff>
    </xdr:from>
    <xdr:to>
      <xdr:col>2</xdr:col>
      <xdr:colOff>12700</xdr:colOff>
      <xdr:row>36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7122FF-86B7-0027-42A0-46A793A45FBA}"/>
            </a:ext>
          </a:extLst>
        </xdr:cNvPr>
        <xdr:cNvSpPr txBox="1"/>
      </xdr:nvSpPr>
      <xdr:spPr>
        <a:xfrm>
          <a:off x="50800" y="6299200"/>
          <a:ext cx="3327400" cy="10414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1">
              <a:latin typeface="Times New Roman" panose="02020603050405020304" pitchFamily="18" charset="0"/>
              <a:cs typeface="Times New Roman" panose="02020603050405020304" pitchFamily="18" charset="0"/>
            </a:rPr>
            <a:t>The Salesforce–Zenith deal is initially dilutive (–$0.25 EPS) in Year 1 due to goodwill amortization and integration costs.</a:t>
          </a:r>
          <a:br>
            <a:rPr lang="en-US" b="1" i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1" i="1">
              <a:latin typeface="Times New Roman" panose="02020603050405020304" pitchFamily="18" charset="0"/>
              <a:cs typeface="Times New Roman" panose="02020603050405020304" pitchFamily="18" charset="0"/>
            </a:rPr>
            <a:t>By Year 2, synergy benefits reduce the impact, and by Year 3, the deal becomes accretive (+$0.09) as expenses fade and Zenith’s contribution grows.</a:t>
          </a:r>
          <a:endParaRPr lang="en-US" sz="11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35</xdr:row>
      <xdr:rowOff>25400</xdr:rowOff>
    </xdr:from>
    <xdr:to>
      <xdr:col>3</xdr:col>
      <xdr:colOff>850900</xdr:colOff>
      <xdr:row>40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449B7D-44EB-F9C7-FA38-B2F7E021960D}"/>
            </a:ext>
          </a:extLst>
        </xdr:cNvPr>
        <xdr:cNvSpPr txBox="1"/>
      </xdr:nvSpPr>
      <xdr:spPr>
        <a:xfrm>
          <a:off x="3327400" y="7137400"/>
          <a:ext cx="1943100" cy="9906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/>
            <a:t>PE loses most of its investment.</a:t>
          </a:r>
        </a:p>
        <a:p>
          <a:r>
            <a:rPr lang="en-US" sz="1100" b="1" i="1"/>
            <a:t>Recap fails because equity was overpriced and leverage too low to boost returns.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31</xdr:row>
      <xdr:rowOff>12700</xdr:rowOff>
    </xdr:from>
    <xdr:to>
      <xdr:col>1</xdr:col>
      <xdr:colOff>1803400</xdr:colOff>
      <xdr:row>39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7B04F8-5738-7901-BE78-FF95B0844FC3}"/>
            </a:ext>
          </a:extLst>
        </xdr:cNvPr>
        <xdr:cNvSpPr txBox="1"/>
      </xdr:nvSpPr>
      <xdr:spPr>
        <a:xfrm>
          <a:off x="38100" y="6311900"/>
          <a:ext cx="3175000" cy="16129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 i="1"/>
            <a:t>A strategic sale delivers full liquidity, eliminates leverage risk, and captures current market multiples before further compression.</a:t>
          </a:r>
          <a:br>
            <a:rPr lang="en-US" b="1" i="1"/>
          </a:br>
          <a:r>
            <a:rPr lang="en-US" b="1" i="1"/>
            <a:t>The leveraged recap offers limited upside but exposes investors to high risk and founders to five more years of execution pressure.</a:t>
          </a:r>
          <a:br>
            <a:rPr lang="en-US" b="1" i="1"/>
          </a:br>
          <a:r>
            <a:rPr lang="en-US" b="1" i="1"/>
            <a:t>Recommendation: Pursue a strategic sale at ~$5.0–$5.5 B valuation while the market remains favorable.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BF0D-9C77-C041-83E4-E1F29F0F88EE}">
  <dimension ref="A1:H17"/>
  <sheetViews>
    <sheetView workbookViewId="0">
      <selection activeCell="C16" sqref="C16"/>
    </sheetView>
  </sheetViews>
  <sheetFormatPr baseColWidth="10" defaultRowHeight="16" x14ac:dyDescent="0.2"/>
  <cols>
    <col min="1" max="1" width="17.5" customWidth="1"/>
    <col min="2" max="2" width="21.5" customWidth="1"/>
    <col min="3" max="3" width="30.6640625" customWidth="1"/>
    <col min="8" max="8" width="13.83203125" customWidth="1"/>
  </cols>
  <sheetData>
    <row r="1" spans="1:8" ht="18" x14ac:dyDescent="0.2">
      <c r="A1" s="57" t="s">
        <v>0</v>
      </c>
      <c r="B1" s="57"/>
      <c r="C1" s="57"/>
    </row>
    <row r="3" spans="1:8" x14ac:dyDescent="0.2">
      <c r="A3" s="3" t="s">
        <v>1</v>
      </c>
      <c r="B3" s="1" t="s">
        <v>2</v>
      </c>
      <c r="C3" s="1" t="s">
        <v>3</v>
      </c>
    </row>
    <row r="4" spans="1:8" x14ac:dyDescent="0.2">
      <c r="A4" s="4" t="s">
        <v>4</v>
      </c>
      <c r="B4" s="5">
        <v>280</v>
      </c>
      <c r="C4" s="4" t="s">
        <v>13</v>
      </c>
      <c r="D4" s="58" t="s">
        <v>26</v>
      </c>
      <c r="E4" s="59"/>
      <c r="F4" s="59"/>
      <c r="G4" s="59"/>
      <c r="H4" s="59"/>
    </row>
    <row r="5" spans="1:8" x14ac:dyDescent="0.2">
      <c r="A5" s="4" t="s">
        <v>5</v>
      </c>
      <c r="B5" s="6">
        <v>0.72</v>
      </c>
      <c r="C5" s="4" t="s">
        <v>14</v>
      </c>
    </row>
    <row r="6" spans="1:8" x14ac:dyDescent="0.2">
      <c r="A6" s="4" t="s">
        <v>6</v>
      </c>
      <c r="B6" s="6">
        <v>0.54</v>
      </c>
      <c r="C6" s="4" t="s">
        <v>15</v>
      </c>
    </row>
    <row r="7" spans="1:8" x14ac:dyDescent="0.2">
      <c r="A7" s="4" t="s">
        <v>7</v>
      </c>
      <c r="B7" s="6">
        <v>0.03</v>
      </c>
      <c r="C7" s="4" t="s">
        <v>16</v>
      </c>
    </row>
    <row r="8" spans="1:8" x14ac:dyDescent="0.2">
      <c r="A8" s="4" t="s">
        <v>8</v>
      </c>
      <c r="B8" s="6">
        <v>0.02</v>
      </c>
      <c r="C8" s="4" t="s">
        <v>17</v>
      </c>
    </row>
    <row r="9" spans="1:8" x14ac:dyDescent="0.2">
      <c r="A9" s="4" t="s">
        <v>9</v>
      </c>
      <c r="B9" s="6">
        <v>0.02</v>
      </c>
      <c r="C9" s="4" t="s">
        <v>18</v>
      </c>
    </row>
    <row r="10" spans="1:8" x14ac:dyDescent="0.2">
      <c r="A10" s="4" t="s">
        <v>10</v>
      </c>
      <c r="B10" s="6">
        <v>0.25</v>
      </c>
      <c r="C10" s="4" t="s">
        <v>19</v>
      </c>
    </row>
    <row r="11" spans="1:8" x14ac:dyDescent="0.2">
      <c r="A11" s="4" t="s">
        <v>11</v>
      </c>
      <c r="B11" s="7" t="s">
        <v>21</v>
      </c>
      <c r="C11" s="4" t="s">
        <v>22</v>
      </c>
    </row>
    <row r="12" spans="1:8" x14ac:dyDescent="0.2">
      <c r="A12" s="4" t="s">
        <v>20</v>
      </c>
      <c r="B12" s="7" t="s">
        <v>12</v>
      </c>
      <c r="C12" s="4" t="s">
        <v>23</v>
      </c>
      <c r="H12" t="s">
        <v>269</v>
      </c>
    </row>
    <row r="14" spans="1:8" ht="18" x14ac:dyDescent="0.2">
      <c r="A14" s="57" t="s">
        <v>24</v>
      </c>
      <c r="B14" s="57"/>
    </row>
    <row r="15" spans="1:8" x14ac:dyDescent="0.2">
      <c r="A15" s="9" t="s">
        <v>25</v>
      </c>
      <c r="B15" s="10">
        <v>1</v>
      </c>
      <c r="C15" s="10">
        <v>2</v>
      </c>
      <c r="D15" s="10">
        <v>3</v>
      </c>
      <c r="E15" s="10">
        <v>4</v>
      </c>
      <c r="F15" s="10">
        <v>5</v>
      </c>
    </row>
    <row r="16" spans="1:8" x14ac:dyDescent="0.2">
      <c r="A16" s="8" t="s">
        <v>11</v>
      </c>
      <c r="B16" s="7"/>
      <c r="C16" s="6">
        <v>0.12</v>
      </c>
      <c r="D16" s="6">
        <v>0.11</v>
      </c>
      <c r="E16" s="6">
        <v>0.1</v>
      </c>
      <c r="F16" s="2">
        <v>0.09</v>
      </c>
    </row>
    <row r="17" spans="1:6" x14ac:dyDescent="0.2">
      <c r="A17" s="8" t="s">
        <v>20</v>
      </c>
      <c r="B17" s="6">
        <v>0.54</v>
      </c>
      <c r="C17" s="6">
        <v>0.52</v>
      </c>
      <c r="D17" s="6">
        <v>0.5</v>
      </c>
      <c r="E17" s="6">
        <v>0.49</v>
      </c>
      <c r="F17" s="2">
        <v>0.48</v>
      </c>
    </row>
  </sheetData>
  <mergeCells count="3">
    <mergeCell ref="A1:C1"/>
    <mergeCell ref="A14:B14"/>
    <mergeCell ref="D4:H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C144-7C3B-9749-9606-0748AC7E46C4}">
  <dimension ref="A1:F11"/>
  <sheetViews>
    <sheetView workbookViewId="0">
      <selection activeCell="C8" sqref="C8"/>
    </sheetView>
  </sheetViews>
  <sheetFormatPr baseColWidth="10" defaultRowHeight="16" x14ac:dyDescent="0.2"/>
  <cols>
    <col min="1" max="2" width="19" customWidth="1"/>
  </cols>
  <sheetData>
    <row r="1" spans="1:6" ht="20" x14ac:dyDescent="0.3">
      <c r="A1" s="60" t="s">
        <v>27</v>
      </c>
      <c r="B1" s="60"/>
      <c r="C1" s="60"/>
    </row>
    <row r="2" spans="1:6" ht="18" x14ac:dyDescent="0.25">
      <c r="A2" s="13" t="s">
        <v>28</v>
      </c>
      <c r="B2" s="14" t="s">
        <v>29</v>
      </c>
      <c r="C2" s="14" t="s">
        <v>30</v>
      </c>
      <c r="D2" s="14" t="s">
        <v>31</v>
      </c>
      <c r="E2" s="14" t="s">
        <v>32</v>
      </c>
      <c r="F2" s="14" t="s">
        <v>33</v>
      </c>
    </row>
    <row r="3" spans="1:6" ht="17" x14ac:dyDescent="0.25">
      <c r="A3" s="15" t="s">
        <v>39</v>
      </c>
      <c r="B3" s="11">
        <f>Assumptions!B4</f>
        <v>280</v>
      </c>
      <c r="C3" s="12">
        <f>B3*(1+Assumptions!C16)</f>
        <v>313.60000000000002</v>
      </c>
      <c r="D3" s="12">
        <f>C3*(1+Assumptions!D16)</f>
        <v>348.09600000000006</v>
      </c>
      <c r="E3" s="12">
        <f>D3*(1+Assumptions!E16)</f>
        <v>382.90560000000011</v>
      </c>
      <c r="F3" s="12">
        <f>E3*(1+Assumptions!F16)</f>
        <v>417.36710400000015</v>
      </c>
    </row>
    <row r="4" spans="1:6" ht="17" x14ac:dyDescent="0.25">
      <c r="A4" s="15" t="s">
        <v>40</v>
      </c>
      <c r="B4" s="12">
        <f>B3*(1-Assumptions!B5)</f>
        <v>78.400000000000006</v>
      </c>
      <c r="C4" s="12">
        <f>C3*(1-Assumptions!B5)</f>
        <v>87.808000000000021</v>
      </c>
      <c r="D4" s="12">
        <f>D3*(1-Assumptions!B5)</f>
        <v>97.466880000000032</v>
      </c>
      <c r="E4" s="12">
        <f>E3*(1-Assumptions!B5)</f>
        <v>107.21356800000004</v>
      </c>
      <c r="F4" s="12">
        <f>F3*(1-Assumptions!B5)</f>
        <v>116.86278912000006</v>
      </c>
    </row>
    <row r="5" spans="1:6" ht="17" x14ac:dyDescent="0.25">
      <c r="A5" s="15" t="s">
        <v>34</v>
      </c>
      <c r="B5" s="12">
        <f>B3-B4</f>
        <v>201.6</v>
      </c>
      <c r="C5" s="12">
        <f>C3-C4</f>
        <v>225.792</v>
      </c>
      <c r="D5" s="12">
        <f>D3-D4</f>
        <v>250.62912000000003</v>
      </c>
      <c r="E5" s="12">
        <f t="shared" ref="E5:F5" si="0">E3-E4</f>
        <v>275.69203200000004</v>
      </c>
      <c r="F5" s="12">
        <f t="shared" si="0"/>
        <v>300.50431488000009</v>
      </c>
    </row>
    <row r="6" spans="1:6" ht="18" thickBot="1" x14ac:dyDescent="0.3">
      <c r="A6" s="18" t="s">
        <v>6</v>
      </c>
      <c r="B6" s="19">
        <f>B3*Assumptions!B17</f>
        <v>151.20000000000002</v>
      </c>
      <c r="C6" s="19">
        <f>C3*Assumptions!C17</f>
        <v>163.07200000000003</v>
      </c>
      <c r="D6" s="19">
        <f>D3*Assumptions!D17</f>
        <v>174.04800000000003</v>
      </c>
      <c r="E6" s="19">
        <f>E3*Assumptions!E17</f>
        <v>187.62374400000004</v>
      </c>
      <c r="F6" s="19">
        <f>F3*Assumptions!F17</f>
        <v>200.33620992000007</v>
      </c>
    </row>
    <row r="7" spans="1:6" ht="17" x14ac:dyDescent="0.25">
      <c r="A7" s="16" t="s">
        <v>35</v>
      </c>
      <c r="B7" s="17">
        <f>B5-B6</f>
        <v>50.399999999999977</v>
      </c>
      <c r="C7" s="17">
        <f>C5-C6</f>
        <v>62.71999999999997</v>
      </c>
      <c r="D7" s="17">
        <f t="shared" ref="D7:F7" si="1">D5-D6</f>
        <v>76.581119999999999</v>
      </c>
      <c r="E7" s="17">
        <f t="shared" si="1"/>
        <v>88.068287999999995</v>
      </c>
      <c r="F7" s="17">
        <f t="shared" si="1"/>
        <v>100.16810496000002</v>
      </c>
    </row>
    <row r="8" spans="1:6" ht="17" x14ac:dyDescent="0.25">
      <c r="A8" s="15" t="s">
        <v>41</v>
      </c>
      <c r="B8" s="12">
        <f>B3*Assumptions!B7</f>
        <v>8.4</v>
      </c>
      <c r="C8" s="12">
        <f>C3*Assumptions!B7</f>
        <v>9.4079999999999995</v>
      </c>
      <c r="D8" s="12">
        <f>D3*Assumptions!B7</f>
        <v>10.442880000000001</v>
      </c>
      <c r="E8" s="12">
        <f>E3*Assumptions!B7</f>
        <v>11.487168000000002</v>
      </c>
      <c r="F8" s="12">
        <f>F3*Assumptions!B7</f>
        <v>12.521013120000005</v>
      </c>
    </row>
    <row r="9" spans="1:6" ht="17" x14ac:dyDescent="0.25">
      <c r="A9" s="15" t="s">
        <v>36</v>
      </c>
      <c r="B9" s="12">
        <f>B7-B8</f>
        <v>41.999999999999979</v>
      </c>
      <c r="C9" s="12">
        <f t="shared" ref="C9:F9" si="2">C7-C8</f>
        <v>53.311999999999969</v>
      </c>
      <c r="D9" s="12">
        <f t="shared" si="2"/>
        <v>66.138239999999996</v>
      </c>
      <c r="E9" s="12">
        <f t="shared" si="2"/>
        <v>76.581119999999999</v>
      </c>
      <c r="F9" s="12">
        <f t="shared" si="2"/>
        <v>87.647091840000016</v>
      </c>
    </row>
    <row r="10" spans="1:6" ht="18" thickBot="1" x14ac:dyDescent="0.3">
      <c r="A10" s="18" t="s">
        <v>37</v>
      </c>
      <c r="B10" s="19">
        <f>B9*Assumptions!B10</f>
        <v>10.499999999999995</v>
      </c>
      <c r="C10" s="19">
        <f>C9*Assumptions!B10</f>
        <v>13.327999999999992</v>
      </c>
      <c r="D10" s="19">
        <f>D9*Assumptions!B10</f>
        <v>16.534559999999999</v>
      </c>
      <c r="E10" s="19">
        <f>E9*Assumptions!B10</f>
        <v>19.14528</v>
      </c>
      <c r="F10" s="19">
        <f>F9*Assumptions!B10</f>
        <v>21.911772960000004</v>
      </c>
    </row>
    <row r="11" spans="1:6" ht="17" x14ac:dyDescent="0.25">
      <c r="A11" s="16" t="s">
        <v>38</v>
      </c>
      <c r="B11" s="17">
        <f>B9-B10</f>
        <v>31.499999999999986</v>
      </c>
      <c r="C11" s="17">
        <f t="shared" ref="C11:F11" si="3">C9-C10</f>
        <v>39.98399999999998</v>
      </c>
      <c r="D11" s="17">
        <f t="shared" si="3"/>
        <v>49.603679999999997</v>
      </c>
      <c r="E11" s="17">
        <f t="shared" si="3"/>
        <v>57.435839999999999</v>
      </c>
      <c r="F11" s="17">
        <f t="shared" si="3"/>
        <v>65.735318880000008</v>
      </c>
    </row>
  </sheetData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6991-C7FC-B249-834E-EC11DB3D694D}">
  <dimension ref="A1:D11"/>
  <sheetViews>
    <sheetView workbookViewId="0">
      <selection activeCell="C12" sqref="C12"/>
    </sheetView>
  </sheetViews>
  <sheetFormatPr baseColWidth="10" defaultRowHeight="16" x14ac:dyDescent="0.2"/>
  <cols>
    <col min="1" max="1" width="19" customWidth="1"/>
    <col min="4" max="4" width="13.1640625" customWidth="1"/>
  </cols>
  <sheetData>
    <row r="1" spans="1:4" x14ac:dyDescent="0.2">
      <c r="A1" s="61" t="s">
        <v>90</v>
      </c>
      <c r="B1" s="61"/>
      <c r="C1" s="61"/>
      <c r="D1" s="61"/>
    </row>
    <row r="2" spans="1:4" x14ac:dyDescent="0.2">
      <c r="A2" s="24" t="s">
        <v>91</v>
      </c>
      <c r="B2" s="24" t="s">
        <v>92</v>
      </c>
      <c r="C2" s="24" t="s">
        <v>2</v>
      </c>
    </row>
    <row r="3" spans="1:4" x14ac:dyDescent="0.2">
      <c r="A3" s="20" t="s">
        <v>93</v>
      </c>
      <c r="B3" s="20" t="s">
        <v>94</v>
      </c>
      <c r="C3" s="37">
        <v>4.4999999999999998E-2</v>
      </c>
    </row>
    <row r="4" spans="1:4" x14ac:dyDescent="0.2">
      <c r="A4" s="20" t="s">
        <v>95</v>
      </c>
      <c r="B4" s="20" t="s">
        <v>101</v>
      </c>
      <c r="C4" s="37">
        <v>0.06</v>
      </c>
    </row>
    <row r="5" spans="1:4" x14ac:dyDescent="0.2">
      <c r="A5" s="20" t="s">
        <v>96</v>
      </c>
      <c r="B5" s="20"/>
      <c r="C5" s="20">
        <v>1.1000000000000001</v>
      </c>
    </row>
    <row r="6" spans="1:4" x14ac:dyDescent="0.2">
      <c r="A6" s="20" t="s">
        <v>97</v>
      </c>
      <c r="B6" s="20" t="s">
        <v>102</v>
      </c>
      <c r="C6" s="38">
        <f>C3 + (C4*C5)</f>
        <v>0.111</v>
      </c>
    </row>
    <row r="7" spans="1:4" x14ac:dyDescent="0.2">
      <c r="A7" s="20" t="s">
        <v>98</v>
      </c>
      <c r="B7" s="20" t="s">
        <v>103</v>
      </c>
      <c r="C7" s="39">
        <v>0</v>
      </c>
    </row>
    <row r="8" spans="1:4" x14ac:dyDescent="0.2">
      <c r="A8" s="20" t="s">
        <v>10</v>
      </c>
      <c r="B8" s="20" t="s">
        <v>104</v>
      </c>
      <c r="C8" s="39">
        <v>0.25</v>
      </c>
    </row>
    <row r="9" spans="1:4" x14ac:dyDescent="0.2">
      <c r="A9" s="20" t="s">
        <v>99</v>
      </c>
      <c r="B9" s="20" t="s">
        <v>105</v>
      </c>
      <c r="C9" s="39">
        <v>1</v>
      </c>
    </row>
    <row r="10" spans="1:4" ht="17" thickBot="1" x14ac:dyDescent="0.25">
      <c r="A10" s="29" t="s">
        <v>100</v>
      </c>
      <c r="B10" s="29" t="s">
        <v>106</v>
      </c>
      <c r="C10" s="40">
        <v>0</v>
      </c>
    </row>
    <row r="11" spans="1:4" x14ac:dyDescent="0.2">
      <c r="A11" s="31" t="s">
        <v>107</v>
      </c>
      <c r="B11" s="31"/>
      <c r="C11" s="41">
        <f>(C9*C6)+(C10*C7*(1-C8))</f>
        <v>0.111</v>
      </c>
    </row>
  </sheetData>
  <mergeCells count="1">
    <mergeCell ref="A1:D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1FFA-98E9-1C4D-AD10-9CD941CF6DB1}">
  <dimension ref="A1:K17"/>
  <sheetViews>
    <sheetView workbookViewId="0">
      <selection activeCell="F9" sqref="F9"/>
    </sheetView>
  </sheetViews>
  <sheetFormatPr baseColWidth="10" defaultRowHeight="16" x14ac:dyDescent="0.2"/>
  <cols>
    <col min="1" max="1" width="12.5" customWidth="1"/>
    <col min="2" max="2" width="15.33203125" customWidth="1"/>
    <col min="3" max="3" width="16.5" customWidth="1"/>
    <col min="4" max="4" width="25.33203125" customWidth="1"/>
    <col min="5" max="5" width="11.5" bestFit="1" customWidth="1"/>
    <col min="7" max="7" width="20.33203125" customWidth="1"/>
    <col min="8" max="8" width="11.5" bestFit="1" customWidth="1"/>
  </cols>
  <sheetData>
    <row r="1" spans="1:11" ht="17" x14ac:dyDescent="0.25">
      <c r="A1" s="62" t="s">
        <v>52</v>
      </c>
      <c r="B1" s="62"/>
      <c r="C1" s="62"/>
      <c r="D1" s="62"/>
    </row>
    <row r="2" spans="1:11" x14ac:dyDescent="0.2">
      <c r="A2" s="24" t="s">
        <v>42</v>
      </c>
      <c r="B2" s="24" t="s">
        <v>51</v>
      </c>
      <c r="C2" s="24" t="s">
        <v>43</v>
      </c>
      <c r="D2" s="24" t="s">
        <v>44</v>
      </c>
      <c r="E2" s="24" t="s">
        <v>45</v>
      </c>
      <c r="F2" s="24" t="s">
        <v>46</v>
      </c>
      <c r="G2" s="24" t="s">
        <v>47</v>
      </c>
      <c r="H2" s="24" t="s">
        <v>48</v>
      </c>
      <c r="I2" s="24" t="s">
        <v>35</v>
      </c>
      <c r="J2" s="24" t="s">
        <v>49</v>
      </c>
      <c r="K2" s="24" t="s">
        <v>50</v>
      </c>
    </row>
    <row r="3" spans="1:11" x14ac:dyDescent="0.2">
      <c r="A3" s="20" t="s">
        <v>53</v>
      </c>
      <c r="B3" s="23">
        <v>240</v>
      </c>
      <c r="C3" s="20">
        <v>980</v>
      </c>
      <c r="D3" s="23">
        <f>B3*C3</f>
        <v>235200</v>
      </c>
      <c r="E3" s="23">
        <v>10000</v>
      </c>
      <c r="F3" s="23">
        <v>5000</v>
      </c>
      <c r="G3" s="23">
        <f>D3+E3-F3</f>
        <v>240200</v>
      </c>
      <c r="H3" s="23">
        <v>35000</v>
      </c>
      <c r="I3" s="23">
        <v>9000</v>
      </c>
      <c r="J3" s="20">
        <f>G3/H3</f>
        <v>6.862857142857143</v>
      </c>
      <c r="K3" s="20">
        <f>G3/I3</f>
        <v>26.68888888888889</v>
      </c>
    </row>
    <row r="4" spans="1:11" x14ac:dyDescent="0.2">
      <c r="A4" s="20" t="s">
        <v>54</v>
      </c>
      <c r="B4" s="23">
        <v>270</v>
      </c>
      <c r="C4" s="20">
        <v>260</v>
      </c>
      <c r="D4" s="23">
        <f t="shared" ref="D4:D7" si="0">B4*C4</f>
        <v>70200</v>
      </c>
      <c r="E4" s="23">
        <v>3000</v>
      </c>
      <c r="F4" s="23">
        <v>2000</v>
      </c>
      <c r="G4" s="23">
        <f t="shared" ref="G4:G7" si="1">D4+E4-F4</f>
        <v>71200</v>
      </c>
      <c r="H4" s="23">
        <v>8000</v>
      </c>
      <c r="I4" s="23">
        <v>1200</v>
      </c>
      <c r="J4" s="20">
        <f t="shared" ref="J4:J7" si="2">G4/H4</f>
        <v>8.9</v>
      </c>
      <c r="K4" s="20">
        <f t="shared" ref="K4:K7" si="3">G4/I4</f>
        <v>59.333333333333336</v>
      </c>
    </row>
    <row r="5" spans="1:11" x14ac:dyDescent="0.2">
      <c r="A5" s="20" t="s">
        <v>55</v>
      </c>
      <c r="B5" s="23">
        <v>700</v>
      </c>
      <c r="C5" s="20">
        <v>210</v>
      </c>
      <c r="D5" s="23">
        <f t="shared" si="0"/>
        <v>147000</v>
      </c>
      <c r="E5" s="23">
        <v>2000</v>
      </c>
      <c r="F5" s="23">
        <v>1000</v>
      </c>
      <c r="G5" s="23">
        <f t="shared" si="1"/>
        <v>148000</v>
      </c>
      <c r="H5" s="23">
        <v>10000</v>
      </c>
      <c r="I5" s="23">
        <v>3000</v>
      </c>
      <c r="J5" s="20">
        <f t="shared" si="2"/>
        <v>14.8</v>
      </c>
      <c r="K5" s="20">
        <f t="shared" si="3"/>
        <v>49.333333333333336</v>
      </c>
    </row>
    <row r="6" spans="1:11" x14ac:dyDescent="0.2">
      <c r="A6" s="20" t="s">
        <v>56</v>
      </c>
      <c r="B6" s="23">
        <v>500</v>
      </c>
      <c r="C6" s="20">
        <v>450</v>
      </c>
      <c r="D6" s="23">
        <f t="shared" si="0"/>
        <v>225000</v>
      </c>
      <c r="E6" s="23">
        <v>4000</v>
      </c>
      <c r="F6" s="23">
        <v>2000</v>
      </c>
      <c r="G6" s="23">
        <f t="shared" si="1"/>
        <v>227000</v>
      </c>
      <c r="H6" s="23">
        <v>20000</v>
      </c>
      <c r="I6" s="23">
        <v>7000</v>
      </c>
      <c r="J6" s="20">
        <f t="shared" si="2"/>
        <v>11.35</v>
      </c>
      <c r="K6" s="20">
        <f t="shared" si="3"/>
        <v>32.428571428571431</v>
      </c>
    </row>
    <row r="7" spans="1:11" x14ac:dyDescent="0.2">
      <c r="A7" s="20" t="s">
        <v>57</v>
      </c>
      <c r="B7" s="23">
        <v>120</v>
      </c>
      <c r="C7" s="20">
        <v>320</v>
      </c>
      <c r="D7" s="23">
        <f t="shared" si="0"/>
        <v>38400</v>
      </c>
      <c r="E7" s="23">
        <v>1000</v>
      </c>
      <c r="F7" s="23">
        <v>500</v>
      </c>
      <c r="G7" s="23">
        <f t="shared" si="1"/>
        <v>38900</v>
      </c>
      <c r="H7" s="23">
        <v>3000</v>
      </c>
      <c r="I7" s="23">
        <v>700</v>
      </c>
      <c r="J7" s="20">
        <f t="shared" si="2"/>
        <v>12.966666666666667</v>
      </c>
      <c r="K7" s="20">
        <f t="shared" si="3"/>
        <v>55.571428571428569</v>
      </c>
    </row>
    <row r="9" spans="1:11" x14ac:dyDescent="0.2">
      <c r="A9" s="24" t="s">
        <v>60</v>
      </c>
      <c r="B9" s="24" t="s">
        <v>49</v>
      </c>
      <c r="C9" s="24" t="s">
        <v>50</v>
      </c>
    </row>
    <row r="10" spans="1:11" x14ac:dyDescent="0.2">
      <c r="A10" s="25" t="s">
        <v>59</v>
      </c>
      <c r="B10" s="20">
        <f>MEDIAN(J3:J7)</f>
        <v>11.35</v>
      </c>
      <c r="C10" s="20">
        <f>MEDIAN(K3:K7)</f>
        <v>49.333333333333336</v>
      </c>
    </row>
    <row r="12" spans="1:11" x14ac:dyDescent="0.2">
      <c r="A12" s="24" t="s">
        <v>58</v>
      </c>
      <c r="B12" s="24" t="s">
        <v>61</v>
      </c>
      <c r="C12" s="24" t="s">
        <v>62</v>
      </c>
      <c r="D12" s="24" t="s">
        <v>63</v>
      </c>
    </row>
    <row r="13" spans="1:11" x14ac:dyDescent="0.2">
      <c r="A13" s="20" t="s">
        <v>48</v>
      </c>
      <c r="B13" s="22">
        <f>Financials!B3</f>
        <v>280</v>
      </c>
      <c r="C13" s="20">
        <v>11.35</v>
      </c>
      <c r="D13" s="21">
        <f>B13*C13</f>
        <v>3178</v>
      </c>
    </row>
    <row r="14" spans="1:11" x14ac:dyDescent="0.2">
      <c r="A14" s="20" t="s">
        <v>35</v>
      </c>
      <c r="B14" s="22">
        <f>Financials!B7</f>
        <v>50.399999999999977</v>
      </c>
      <c r="C14" s="20">
        <v>49.3</v>
      </c>
      <c r="D14" s="21">
        <f>B14*C14</f>
        <v>2484.7199999999989</v>
      </c>
    </row>
    <row r="16" spans="1:11" x14ac:dyDescent="0.2">
      <c r="A16" s="26" t="s">
        <v>64</v>
      </c>
      <c r="B16" s="27">
        <f>(D13+D14)/2</f>
        <v>2831.3599999999997</v>
      </c>
    </row>
    <row r="17" spans="1:7" ht="18" customHeight="1" x14ac:dyDescent="0.2">
      <c r="A17" s="63" t="s">
        <v>65</v>
      </c>
      <c r="B17" s="63"/>
      <c r="C17" s="63"/>
      <c r="D17" s="63"/>
      <c r="E17" s="63"/>
      <c r="F17" s="63"/>
      <c r="G17" s="63"/>
    </row>
  </sheetData>
  <mergeCells count="2">
    <mergeCell ref="A1:D1"/>
    <mergeCell ref="A17:G17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1409-DE6C-724D-83DA-3B2CF94A19CC}">
  <dimension ref="A1:P17"/>
  <sheetViews>
    <sheetView workbookViewId="0">
      <selection activeCell="C29" sqref="C29"/>
    </sheetView>
  </sheetViews>
  <sheetFormatPr baseColWidth="10" defaultRowHeight="16" x14ac:dyDescent="0.2"/>
  <cols>
    <col min="1" max="1" width="16.6640625" customWidth="1"/>
    <col min="2" max="2" width="14.6640625" customWidth="1"/>
    <col min="3" max="3" width="14.5" customWidth="1"/>
    <col min="4" max="4" width="27" customWidth="1"/>
    <col min="5" max="5" width="14.83203125" customWidth="1"/>
  </cols>
  <sheetData>
    <row r="1" spans="1:8" x14ac:dyDescent="0.2">
      <c r="A1" s="61" t="s">
        <v>66</v>
      </c>
      <c r="B1" s="61"/>
      <c r="C1" s="61"/>
      <c r="D1" s="61"/>
      <c r="E1" s="61"/>
    </row>
    <row r="2" spans="1:8" x14ac:dyDescent="0.2">
      <c r="A2" s="24" t="s">
        <v>67</v>
      </c>
      <c r="B2" s="24" t="s">
        <v>68</v>
      </c>
      <c r="C2" s="24" t="s">
        <v>25</v>
      </c>
      <c r="D2" s="24" t="s">
        <v>69</v>
      </c>
      <c r="E2" s="24" t="s">
        <v>70</v>
      </c>
      <c r="F2" s="24" t="s">
        <v>71</v>
      </c>
      <c r="G2" s="24" t="s">
        <v>49</v>
      </c>
      <c r="H2" s="24" t="s">
        <v>50</v>
      </c>
    </row>
    <row r="3" spans="1:8" x14ac:dyDescent="0.2">
      <c r="A3" s="20" t="s">
        <v>72</v>
      </c>
      <c r="B3" s="20" t="s">
        <v>53</v>
      </c>
      <c r="C3" s="20">
        <v>2021</v>
      </c>
      <c r="D3" s="23">
        <v>27700</v>
      </c>
      <c r="E3" s="23">
        <v>900</v>
      </c>
      <c r="F3" s="23">
        <v>0</v>
      </c>
      <c r="G3" s="20">
        <v>30.8</v>
      </c>
      <c r="H3" s="20" t="s">
        <v>77</v>
      </c>
    </row>
    <row r="4" spans="1:8" x14ac:dyDescent="0.2">
      <c r="A4" s="20" t="s">
        <v>73</v>
      </c>
      <c r="B4" s="20" t="s">
        <v>53</v>
      </c>
      <c r="C4" s="20">
        <v>2019</v>
      </c>
      <c r="D4" s="23">
        <v>15700</v>
      </c>
      <c r="E4" s="23">
        <v>1400</v>
      </c>
      <c r="F4" s="23">
        <v>280</v>
      </c>
      <c r="G4" s="20">
        <v>11.2</v>
      </c>
      <c r="H4" s="20">
        <v>56.1</v>
      </c>
    </row>
    <row r="5" spans="1:8" x14ac:dyDescent="0.2">
      <c r="A5" s="20" t="s">
        <v>74</v>
      </c>
      <c r="B5" s="20" t="s">
        <v>53</v>
      </c>
      <c r="C5" s="20">
        <v>2018</v>
      </c>
      <c r="D5" s="23">
        <v>6500</v>
      </c>
      <c r="E5" s="23">
        <v>296</v>
      </c>
      <c r="F5" s="23">
        <v>36</v>
      </c>
      <c r="G5" s="28">
        <v>22</v>
      </c>
      <c r="H5" s="20">
        <v>180.6</v>
      </c>
    </row>
    <row r="6" spans="1:8" x14ac:dyDescent="0.2">
      <c r="A6" s="20" t="s">
        <v>75</v>
      </c>
      <c r="B6" s="20" t="s">
        <v>56</v>
      </c>
      <c r="C6" s="20">
        <v>2018</v>
      </c>
      <c r="D6" s="23">
        <v>4750</v>
      </c>
      <c r="E6" s="23">
        <v>321</v>
      </c>
      <c r="F6" s="23">
        <v>53</v>
      </c>
      <c r="G6" s="20">
        <v>14.8</v>
      </c>
      <c r="H6" s="20">
        <v>89.6</v>
      </c>
    </row>
    <row r="7" spans="1:8" x14ac:dyDescent="0.2">
      <c r="A7" s="20" t="s">
        <v>76</v>
      </c>
      <c r="B7" s="20" t="s">
        <v>56</v>
      </c>
      <c r="C7" s="20">
        <v>2019</v>
      </c>
      <c r="D7" s="23">
        <v>8000</v>
      </c>
      <c r="E7" s="23">
        <v>400</v>
      </c>
      <c r="F7" s="23">
        <v>75</v>
      </c>
      <c r="G7" s="28">
        <v>20</v>
      </c>
      <c r="H7" s="20">
        <v>106.7</v>
      </c>
    </row>
    <row r="9" spans="1:8" x14ac:dyDescent="0.2">
      <c r="A9" s="24" t="s">
        <v>58</v>
      </c>
      <c r="B9" s="24" t="s">
        <v>62</v>
      </c>
    </row>
    <row r="10" spans="1:8" x14ac:dyDescent="0.2">
      <c r="A10" s="20" t="s">
        <v>49</v>
      </c>
      <c r="B10" s="28">
        <f>MEDIAN(G3:G7)</f>
        <v>20</v>
      </c>
    </row>
    <row r="11" spans="1:8" x14ac:dyDescent="0.2">
      <c r="A11" s="20" t="s">
        <v>78</v>
      </c>
      <c r="B11" s="20">
        <f>MEDIAN(H4:H7)</f>
        <v>98.15</v>
      </c>
    </row>
    <row r="13" spans="1:8" x14ac:dyDescent="0.2">
      <c r="A13" s="24" t="s">
        <v>58</v>
      </c>
      <c r="B13" s="24" t="s">
        <v>61</v>
      </c>
      <c r="C13" s="24" t="s">
        <v>62</v>
      </c>
      <c r="D13" s="24" t="s">
        <v>63</v>
      </c>
    </row>
    <row r="14" spans="1:8" x14ac:dyDescent="0.2">
      <c r="A14" s="20" t="s">
        <v>48</v>
      </c>
      <c r="B14" s="33">
        <v>280</v>
      </c>
      <c r="C14" s="20">
        <v>20</v>
      </c>
      <c r="D14" s="21">
        <f>B14*C14</f>
        <v>5600</v>
      </c>
    </row>
    <row r="15" spans="1:8" ht="17" thickBot="1" x14ac:dyDescent="0.25">
      <c r="A15" s="29" t="s">
        <v>35</v>
      </c>
      <c r="B15" s="34">
        <v>50.4</v>
      </c>
      <c r="C15" s="29">
        <v>98.15</v>
      </c>
      <c r="D15" s="30">
        <f>B15*C15</f>
        <v>4946.76</v>
      </c>
    </row>
    <row r="16" spans="1:8" x14ac:dyDescent="0.2">
      <c r="A16" s="31" t="s">
        <v>79</v>
      </c>
      <c r="B16" s="31"/>
      <c r="C16" s="31"/>
      <c r="D16" s="32">
        <f>(D14+D15)/2</f>
        <v>5273.38</v>
      </c>
    </row>
    <row r="17" spans="1:16" ht="34" customHeight="1" x14ac:dyDescent="0.2">
      <c r="A17" s="35" t="s">
        <v>80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</sheetData>
  <mergeCells count="1">
    <mergeCell ref="A1:E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9A5D-6A7F-D44E-8F85-F34959F3DEA8}">
  <dimension ref="A1:G21"/>
  <sheetViews>
    <sheetView tabSelected="1" workbookViewId="0">
      <selection activeCell="B23" sqref="B23"/>
    </sheetView>
  </sheetViews>
  <sheetFormatPr baseColWidth="10" defaultRowHeight="16" x14ac:dyDescent="0.2"/>
  <cols>
    <col min="1" max="1" width="23.5" customWidth="1"/>
    <col min="7" max="7" width="15.33203125" customWidth="1"/>
  </cols>
  <sheetData>
    <row r="1" spans="1:7" x14ac:dyDescent="0.2">
      <c r="A1" s="59" t="s">
        <v>81</v>
      </c>
      <c r="B1" s="59"/>
      <c r="C1" s="59"/>
      <c r="D1" s="59"/>
    </row>
    <row r="2" spans="1:7" x14ac:dyDescent="0.2">
      <c r="A2" s="10" t="s">
        <v>82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</row>
    <row r="3" spans="1:7" x14ac:dyDescent="0.2">
      <c r="A3" s="20" t="s">
        <v>83</v>
      </c>
      <c r="B3" s="21">
        <f>Financials!B9</f>
        <v>41.999999999999979</v>
      </c>
      <c r="C3" s="21">
        <f>Financials!C9</f>
        <v>53.311999999999969</v>
      </c>
      <c r="D3" s="21">
        <f>Financials!D9</f>
        <v>66.138239999999996</v>
      </c>
      <c r="E3" s="21">
        <f>Financials!E9</f>
        <v>76.581119999999999</v>
      </c>
      <c r="F3" s="21">
        <f>Financials!F9</f>
        <v>87.647091840000016</v>
      </c>
      <c r="G3" s="36" t="s">
        <v>112</v>
      </c>
    </row>
    <row r="4" spans="1:7" x14ac:dyDescent="0.2">
      <c r="A4" s="20" t="s">
        <v>84</v>
      </c>
      <c r="B4" s="21">
        <f>B3*25%</f>
        <v>10.499999999999995</v>
      </c>
      <c r="C4" s="21">
        <f t="shared" ref="C4:F4" si="0">C3*25%</f>
        <v>13.327999999999992</v>
      </c>
      <c r="D4" s="21">
        <f t="shared" si="0"/>
        <v>16.534559999999999</v>
      </c>
      <c r="E4" s="21">
        <f t="shared" si="0"/>
        <v>19.14528</v>
      </c>
      <c r="F4" s="21">
        <f t="shared" si="0"/>
        <v>21.911772960000004</v>
      </c>
    </row>
    <row r="5" spans="1:7" x14ac:dyDescent="0.2">
      <c r="A5" s="20" t="s">
        <v>85</v>
      </c>
      <c r="B5" s="21">
        <f>B3-B4</f>
        <v>31.499999999999986</v>
      </c>
      <c r="C5" s="21">
        <f>C3-C4</f>
        <v>39.98399999999998</v>
      </c>
      <c r="D5" s="21">
        <f t="shared" ref="D5:F5" si="1">D3-D4</f>
        <v>49.603679999999997</v>
      </c>
      <c r="E5" s="21">
        <f t="shared" si="1"/>
        <v>57.435839999999999</v>
      </c>
      <c r="F5" s="21">
        <f t="shared" si="1"/>
        <v>65.735318880000008</v>
      </c>
    </row>
    <row r="6" spans="1:7" x14ac:dyDescent="0.2">
      <c r="A6" s="20" t="s">
        <v>7</v>
      </c>
      <c r="B6" s="21">
        <f>Financials!B8</f>
        <v>8.4</v>
      </c>
      <c r="C6" s="21">
        <f>Financials!C8</f>
        <v>9.4079999999999995</v>
      </c>
      <c r="D6" s="21">
        <f>Financials!D8</f>
        <v>10.442880000000001</v>
      </c>
      <c r="E6" s="21">
        <f>Financials!E8</f>
        <v>11.487168000000002</v>
      </c>
      <c r="F6" s="21">
        <f>Financials!F8</f>
        <v>12.521013120000005</v>
      </c>
    </row>
    <row r="7" spans="1:7" x14ac:dyDescent="0.2">
      <c r="A7" s="20" t="s">
        <v>8</v>
      </c>
      <c r="B7" s="21">
        <f>Financials!B3*2%</f>
        <v>5.6000000000000005</v>
      </c>
      <c r="C7" s="21">
        <f>Financials!C3*2%</f>
        <v>6.2720000000000002</v>
      </c>
      <c r="D7" s="21">
        <f>Financials!D3*2%</f>
        <v>6.961920000000001</v>
      </c>
      <c r="E7" s="21">
        <f>Financials!E3*2%</f>
        <v>7.6581120000000027</v>
      </c>
      <c r="F7" s="21">
        <f>Financials!F3*2%</f>
        <v>8.3473420800000024</v>
      </c>
    </row>
    <row r="8" spans="1:7" x14ac:dyDescent="0.2">
      <c r="A8" s="20" t="s">
        <v>86</v>
      </c>
      <c r="B8" s="20">
        <v>0</v>
      </c>
      <c r="C8" s="21">
        <f>(Financials!C3-Financials!B3)*2%</f>
        <v>0.67200000000000049</v>
      </c>
      <c r="D8" s="21">
        <f>(Financials!D3-Financials!C3)*2%</f>
        <v>0.68992000000000075</v>
      </c>
      <c r="E8" s="21">
        <f>(Financials!E3-Financials!D3)*2%</f>
        <v>0.69619200000000092</v>
      </c>
      <c r="F8" s="21">
        <f>(Financials!F3-Financials!E3)*2%</f>
        <v>0.68923008000000097</v>
      </c>
    </row>
    <row r="9" spans="1:7" x14ac:dyDescent="0.2">
      <c r="A9" s="20" t="s">
        <v>87</v>
      </c>
      <c r="B9" s="21">
        <f>B5 + B6 -B7-B8</f>
        <v>34.299999999999983</v>
      </c>
      <c r="C9" s="21">
        <f t="shared" ref="C9:F9" si="2">C5 + C6 -C7-C8</f>
        <v>42.447999999999986</v>
      </c>
      <c r="D9" s="21">
        <f t="shared" si="2"/>
        <v>52.39472</v>
      </c>
      <c r="E9" s="21">
        <f t="shared" si="2"/>
        <v>60.56870399999999</v>
      </c>
      <c r="F9" s="21">
        <f t="shared" si="2"/>
        <v>69.219759840000009</v>
      </c>
    </row>
    <row r="10" spans="1:7" x14ac:dyDescent="0.2">
      <c r="A10" s="20" t="s">
        <v>88</v>
      </c>
      <c r="B10" s="20">
        <f>1/(1+WACC_Calc!C11)^1</f>
        <v>0.90009000900090008</v>
      </c>
      <c r="C10" s="20">
        <f>1/(1+WACC_Calc!C11)^2</f>
        <v>0.81016202430324036</v>
      </c>
      <c r="D10" s="20">
        <f>1/(1+WACC_Calc!C11)^3</f>
        <v>0.72921874374729112</v>
      </c>
      <c r="E10" s="20">
        <f>1/(1+WACC_Calc!C11)^4</f>
        <v>0.65636250562312426</v>
      </c>
      <c r="F10" s="20">
        <f>1/(1+WACC_Calc!C11)^5</f>
        <v>0.59078533359417129</v>
      </c>
    </row>
    <row r="11" spans="1:7" x14ac:dyDescent="0.2">
      <c r="A11" s="20" t="s">
        <v>89</v>
      </c>
      <c r="B11" s="21">
        <f>B9*B10</f>
        <v>30.873087308730856</v>
      </c>
      <c r="C11" s="21">
        <f t="shared" ref="C11:F11" si="3">C9*C10</f>
        <v>34.389757607623935</v>
      </c>
      <c r="D11" s="21">
        <f t="shared" si="3"/>
        <v>38.207211897391069</v>
      </c>
      <c r="E11" s="21">
        <f t="shared" si="3"/>
        <v>39.755026319785344</v>
      </c>
      <c r="F11" s="21">
        <f t="shared" si="3"/>
        <v>40.894018908382826</v>
      </c>
    </row>
    <row r="13" spans="1:7" x14ac:dyDescent="0.2">
      <c r="A13" s="20" t="s">
        <v>108</v>
      </c>
      <c r="B13" s="21">
        <f>B11+C11+D11+E11+F11</f>
        <v>184.11910204191403</v>
      </c>
    </row>
    <row r="14" spans="1:7" x14ac:dyDescent="0.2">
      <c r="A14" s="20" t="s">
        <v>109</v>
      </c>
      <c r="B14" s="21">
        <f>F5*(1+3%)/(11%-3%)</f>
        <v>846.34223058000021</v>
      </c>
      <c r="C14" s="36" t="s">
        <v>110</v>
      </c>
    </row>
    <row r="15" spans="1:7" ht="17" thickBot="1" x14ac:dyDescent="0.25">
      <c r="A15" s="29" t="s">
        <v>111</v>
      </c>
      <c r="B15" s="30">
        <f>B14/(1+WACC_Calc!C11)^5</f>
        <v>500.00657702804045</v>
      </c>
    </row>
    <row r="16" spans="1:7" x14ac:dyDescent="0.2">
      <c r="A16" s="43" t="s">
        <v>125</v>
      </c>
      <c r="B16" s="44">
        <f>B15+B13</f>
        <v>684.12567906995446</v>
      </c>
    </row>
    <row r="18" spans="1:4" x14ac:dyDescent="0.2">
      <c r="A18" s="10" t="s">
        <v>126</v>
      </c>
      <c r="B18" s="10" t="s">
        <v>107</v>
      </c>
      <c r="C18" s="10" t="s">
        <v>127</v>
      </c>
      <c r="D18" s="10" t="s">
        <v>131</v>
      </c>
    </row>
    <row r="19" spans="1:4" x14ac:dyDescent="0.2">
      <c r="A19" s="20" t="s">
        <v>128</v>
      </c>
      <c r="B19" s="37">
        <v>0.12</v>
      </c>
      <c r="C19" s="37">
        <v>0.02</v>
      </c>
      <c r="D19" s="21">
        <f>(F9*(1+2%))/(12%-2%)</f>
        <v>706.04155036800012</v>
      </c>
    </row>
    <row r="20" spans="1:4" x14ac:dyDescent="0.2">
      <c r="A20" s="20" t="s">
        <v>129</v>
      </c>
      <c r="B20" s="37">
        <v>0.111</v>
      </c>
      <c r="C20" s="37">
        <v>0.03</v>
      </c>
      <c r="D20" s="21">
        <f>(F9*(1+3%))/(11.1%-3%)</f>
        <v>880.20188438518528</v>
      </c>
    </row>
    <row r="21" spans="1:4" x14ac:dyDescent="0.2">
      <c r="A21" s="20" t="s">
        <v>130</v>
      </c>
      <c r="B21" s="37">
        <v>0.1</v>
      </c>
      <c r="C21" s="37">
        <v>0.04</v>
      </c>
      <c r="D21" s="21">
        <f>(F9*(1+4%))/(10%-4%)</f>
        <v>1199.80917056</v>
      </c>
    </row>
  </sheetData>
  <mergeCells count="1">
    <mergeCell ref="A1:D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9968-CD4F-7E43-89E8-F6C178AAC36B}">
  <dimension ref="A1:J25"/>
  <sheetViews>
    <sheetView workbookViewId="0">
      <selection activeCell="G30" sqref="G30"/>
    </sheetView>
  </sheetViews>
  <sheetFormatPr baseColWidth="10" defaultRowHeight="16" x14ac:dyDescent="0.2"/>
  <cols>
    <col min="1" max="1" width="22" customWidth="1"/>
    <col min="2" max="2" width="35.1640625" customWidth="1"/>
    <col min="3" max="3" width="16.33203125" customWidth="1"/>
    <col min="4" max="4" width="17.83203125" customWidth="1"/>
    <col min="5" max="5" width="27" customWidth="1"/>
  </cols>
  <sheetData>
    <row r="1" spans="1:5" x14ac:dyDescent="0.2">
      <c r="A1" s="61" t="s">
        <v>113</v>
      </c>
      <c r="B1" s="61"/>
      <c r="C1" s="61"/>
      <c r="D1" s="61"/>
    </row>
    <row r="2" spans="1:5" x14ac:dyDescent="0.2">
      <c r="A2" s="24" t="s">
        <v>114</v>
      </c>
      <c r="B2" s="24" t="s">
        <v>115</v>
      </c>
      <c r="C2" s="24" t="s">
        <v>123</v>
      </c>
      <c r="D2" s="24" t="s">
        <v>124</v>
      </c>
      <c r="E2" s="24" t="s">
        <v>116</v>
      </c>
    </row>
    <row r="3" spans="1:5" x14ac:dyDescent="0.2">
      <c r="A3" s="45" t="s">
        <v>117</v>
      </c>
      <c r="B3" s="20" t="s">
        <v>119</v>
      </c>
      <c r="C3" s="21">
        <f>'Trading Comps'!D14</f>
        <v>2484.7199999999989</v>
      </c>
      <c r="D3" s="21">
        <f>'Trading Comps'!D13</f>
        <v>3178</v>
      </c>
      <c r="E3" s="21">
        <f>'Trading Comps'!B16</f>
        <v>2831.3599999999997</v>
      </c>
    </row>
    <row r="4" spans="1:5" x14ac:dyDescent="0.2">
      <c r="A4" s="46" t="s">
        <v>118</v>
      </c>
      <c r="B4" s="20" t="s">
        <v>120</v>
      </c>
      <c r="C4" s="21">
        <f>'Precedent Transactions'!D15</f>
        <v>4946.76</v>
      </c>
      <c r="D4" s="21">
        <f>'Precedent Transactions'!D14</f>
        <v>5600</v>
      </c>
      <c r="E4" s="21">
        <f>'Precedent Transactions'!D16</f>
        <v>5273.38</v>
      </c>
    </row>
    <row r="5" spans="1:5" x14ac:dyDescent="0.2">
      <c r="A5" s="47" t="s">
        <v>134</v>
      </c>
      <c r="B5" s="20" t="s">
        <v>121</v>
      </c>
      <c r="C5" s="21">
        <f>'DCF Analysis'!D19</f>
        <v>706.04155036800012</v>
      </c>
      <c r="D5" s="21">
        <f>'DCF Analysis'!D21</f>
        <v>1199.80917056</v>
      </c>
      <c r="E5" s="21">
        <f>'DCF Analysis'!D20</f>
        <v>880.20188438518528</v>
      </c>
    </row>
    <row r="6" spans="1:5" x14ac:dyDescent="0.2">
      <c r="A6" s="48" t="s">
        <v>133</v>
      </c>
      <c r="B6" s="20" t="s">
        <v>122</v>
      </c>
      <c r="C6" s="21">
        <f>AVERAGE(C3:C5)</f>
        <v>2712.5071834559999</v>
      </c>
      <c r="D6" s="21">
        <f>AVERAGE(D3:D5)</f>
        <v>3325.9363901866668</v>
      </c>
      <c r="E6" s="21">
        <f>AVERAGE(E3:E5)</f>
        <v>2994.980628128395</v>
      </c>
    </row>
    <row r="7" spans="1:5" x14ac:dyDescent="0.2">
      <c r="A7" s="49" t="s">
        <v>132</v>
      </c>
      <c r="B7" s="20" t="s">
        <v>135</v>
      </c>
      <c r="C7" s="21">
        <f>(35%*C3)+(50%*C4)+(15%*C5)</f>
        <v>3448.9382325551996</v>
      </c>
      <c r="D7" s="21">
        <f>(35%*D3)+(50%*D4)+(15%*D5)</f>
        <v>4092.271375584</v>
      </c>
      <c r="E7" s="21">
        <f>(35%*E3)+(50%*E4)+(15%*E5)</f>
        <v>3759.6962826577774</v>
      </c>
    </row>
    <row r="25" spans="4:10" ht="16" customHeight="1" x14ac:dyDescent="0.2">
      <c r="D25" s="50"/>
      <c r="E25" s="50"/>
      <c r="F25" s="50"/>
      <c r="G25" s="50"/>
      <c r="H25" s="50"/>
      <c r="I25" s="50"/>
      <c r="J25" s="50"/>
    </row>
  </sheetData>
  <mergeCells count="1">
    <mergeCell ref="A1:D1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91A4-EE54-9440-8F7A-31E5C3620C2F}">
  <dimension ref="A1:F30"/>
  <sheetViews>
    <sheetView workbookViewId="0">
      <selection activeCell="C37" sqref="C37"/>
    </sheetView>
  </sheetViews>
  <sheetFormatPr baseColWidth="10" defaultRowHeight="16" x14ac:dyDescent="0.2"/>
  <cols>
    <col min="1" max="1" width="26.5" customWidth="1"/>
    <col min="2" max="2" width="17.6640625" customWidth="1"/>
    <col min="3" max="3" width="26.83203125" customWidth="1"/>
    <col min="4" max="4" width="27.6640625" customWidth="1"/>
    <col min="5" max="5" width="13.5" customWidth="1"/>
  </cols>
  <sheetData>
    <row r="1" spans="1:5" x14ac:dyDescent="0.2">
      <c r="A1" s="59" t="s">
        <v>136</v>
      </c>
      <c r="B1" s="59"/>
      <c r="C1" s="59"/>
      <c r="D1" s="59"/>
      <c r="E1" s="59"/>
    </row>
    <row r="2" spans="1:5" x14ac:dyDescent="0.2">
      <c r="A2" s="10" t="s">
        <v>82</v>
      </c>
      <c r="B2" s="10" t="s">
        <v>137</v>
      </c>
      <c r="C2" s="10" t="s">
        <v>138</v>
      </c>
    </row>
    <row r="3" spans="1:5" x14ac:dyDescent="0.2">
      <c r="A3" s="20" t="s">
        <v>139</v>
      </c>
      <c r="B3" s="51">
        <v>6</v>
      </c>
      <c r="C3" s="20" t="s">
        <v>151</v>
      </c>
    </row>
    <row r="4" spans="1:5" x14ac:dyDescent="0.2">
      <c r="A4" s="20" t="s">
        <v>38</v>
      </c>
      <c r="B4" s="52">
        <v>14400</v>
      </c>
      <c r="C4" s="21">
        <f>Financials!B11</f>
        <v>31.499999999999986</v>
      </c>
      <c r="D4" t="s">
        <v>150</v>
      </c>
    </row>
    <row r="5" spans="1:5" x14ac:dyDescent="0.2">
      <c r="A5" s="20" t="s">
        <v>140</v>
      </c>
      <c r="B5" s="53">
        <v>2400</v>
      </c>
      <c r="C5" s="23">
        <v>50</v>
      </c>
    </row>
    <row r="6" spans="1:5" x14ac:dyDescent="0.2">
      <c r="A6" s="20" t="s">
        <v>141</v>
      </c>
      <c r="B6" s="20" t="s">
        <v>147</v>
      </c>
      <c r="C6" s="20" t="s">
        <v>148</v>
      </c>
    </row>
    <row r="7" spans="1:5" x14ac:dyDescent="0.2">
      <c r="A7" s="20" t="s">
        <v>142</v>
      </c>
      <c r="B7" s="20" t="s">
        <v>149</v>
      </c>
      <c r="C7" s="53">
        <v>500</v>
      </c>
    </row>
    <row r="8" spans="1:5" x14ac:dyDescent="0.2">
      <c r="A8" s="20" t="s">
        <v>143</v>
      </c>
      <c r="B8" s="20" t="s">
        <v>77</v>
      </c>
      <c r="C8" s="53">
        <v>1900</v>
      </c>
    </row>
    <row r="9" spans="1:5" x14ac:dyDescent="0.2">
      <c r="A9" s="20" t="s">
        <v>144</v>
      </c>
      <c r="B9" s="20" t="s">
        <v>77</v>
      </c>
      <c r="C9" s="20" t="s">
        <v>168</v>
      </c>
    </row>
    <row r="10" spans="1:5" x14ac:dyDescent="0.2">
      <c r="A10" s="20" t="s">
        <v>145</v>
      </c>
      <c r="B10" s="20" t="s">
        <v>77</v>
      </c>
      <c r="C10" s="53">
        <v>271</v>
      </c>
    </row>
    <row r="11" spans="1:5" x14ac:dyDescent="0.2">
      <c r="A11" s="20" t="s">
        <v>146</v>
      </c>
      <c r="B11" s="20" t="s">
        <v>77</v>
      </c>
      <c r="C11" s="53">
        <v>75</v>
      </c>
    </row>
    <row r="13" spans="1:5" x14ac:dyDescent="0.2">
      <c r="A13" s="42" t="s">
        <v>152</v>
      </c>
    </row>
    <row r="14" spans="1:5" x14ac:dyDescent="0.2">
      <c r="A14" s="10" t="s">
        <v>82</v>
      </c>
      <c r="B14" s="10" t="s">
        <v>131</v>
      </c>
    </row>
    <row r="15" spans="1:5" x14ac:dyDescent="0.2">
      <c r="A15" s="20" t="s">
        <v>153</v>
      </c>
      <c r="B15" s="21">
        <f>B4</f>
        <v>14400</v>
      </c>
    </row>
    <row r="16" spans="1:5" x14ac:dyDescent="0.2">
      <c r="A16" s="20" t="s">
        <v>154</v>
      </c>
      <c r="B16" s="21">
        <f>C4</f>
        <v>31.499999999999986</v>
      </c>
    </row>
    <row r="17" spans="1:6" x14ac:dyDescent="0.2">
      <c r="A17" s="20" t="s">
        <v>155</v>
      </c>
      <c r="B17" s="21">
        <f>B15+B16</f>
        <v>14431.5</v>
      </c>
    </row>
    <row r="18" spans="1:6" x14ac:dyDescent="0.2">
      <c r="A18" s="20" t="s">
        <v>156</v>
      </c>
      <c r="B18" s="20">
        <f>C10</f>
        <v>271</v>
      </c>
    </row>
    <row r="19" spans="1:6" x14ac:dyDescent="0.2">
      <c r="A19" s="20" t="s">
        <v>157</v>
      </c>
      <c r="B19" s="53">
        <f>C11</f>
        <v>75</v>
      </c>
    </row>
    <row r="20" spans="1:6" x14ac:dyDescent="0.2">
      <c r="A20" s="20" t="s">
        <v>158</v>
      </c>
      <c r="B20" s="21">
        <f>B17-B18-B19</f>
        <v>14085.5</v>
      </c>
    </row>
    <row r="21" spans="1:6" x14ac:dyDescent="0.2">
      <c r="A21" s="20" t="s">
        <v>159</v>
      </c>
      <c r="B21" s="53">
        <f>B5 + C5</f>
        <v>2450</v>
      </c>
    </row>
    <row r="22" spans="1:6" x14ac:dyDescent="0.2">
      <c r="A22" s="20" t="s">
        <v>162</v>
      </c>
      <c r="B22" s="54">
        <f>B20/B21</f>
        <v>5.7491836734693882</v>
      </c>
    </row>
    <row r="23" spans="1:6" x14ac:dyDescent="0.2">
      <c r="A23" s="20" t="s">
        <v>160</v>
      </c>
      <c r="B23" s="51">
        <f>B3</f>
        <v>6</v>
      </c>
    </row>
    <row r="24" spans="1:6" x14ac:dyDescent="0.2">
      <c r="A24" s="20" t="s">
        <v>161</v>
      </c>
      <c r="B24" s="51">
        <f>B22-B23</f>
        <v>-0.25081632653061181</v>
      </c>
    </row>
    <row r="26" spans="1:6" x14ac:dyDescent="0.2">
      <c r="A26" s="42" t="s">
        <v>163</v>
      </c>
    </row>
    <row r="27" spans="1:6" x14ac:dyDescent="0.2">
      <c r="A27" s="10" t="s">
        <v>25</v>
      </c>
      <c r="B27" s="10" t="s">
        <v>164</v>
      </c>
      <c r="C27" s="10" t="s">
        <v>165</v>
      </c>
      <c r="D27" s="10" t="s">
        <v>166</v>
      </c>
      <c r="E27" s="10" t="s">
        <v>162</v>
      </c>
      <c r="F27" s="10" t="s">
        <v>167</v>
      </c>
    </row>
    <row r="28" spans="1:6" x14ac:dyDescent="0.2">
      <c r="A28" s="20">
        <v>1</v>
      </c>
      <c r="B28" s="51">
        <f>B3</f>
        <v>6</v>
      </c>
      <c r="C28" s="20">
        <v>0.03</v>
      </c>
      <c r="D28" s="20">
        <v>-0.14000000000000001</v>
      </c>
      <c r="E28" s="51">
        <f>B28+C28+D28</f>
        <v>5.8900000000000006</v>
      </c>
      <c r="F28" s="51">
        <f>E28-B28</f>
        <v>-0.10999999999999943</v>
      </c>
    </row>
    <row r="29" spans="1:6" x14ac:dyDescent="0.2">
      <c r="A29" s="20">
        <v>2</v>
      </c>
      <c r="B29" s="51">
        <f>B3*1.05</f>
        <v>6.3000000000000007</v>
      </c>
      <c r="C29" s="20">
        <v>0.06</v>
      </c>
      <c r="D29" s="20">
        <v>-0.11</v>
      </c>
      <c r="E29" s="51">
        <f t="shared" ref="E29:E30" si="0">B29+C29+D29</f>
        <v>6.25</v>
      </c>
      <c r="F29" s="51">
        <f t="shared" ref="F29:F30" si="1">E29-B29</f>
        <v>-5.0000000000000711E-2</v>
      </c>
    </row>
    <row r="30" spans="1:6" x14ac:dyDescent="0.2">
      <c r="A30" s="20">
        <v>3</v>
      </c>
      <c r="B30" s="51">
        <f>B3*1.1</f>
        <v>6.6000000000000005</v>
      </c>
      <c r="C30" s="20">
        <v>0.09</v>
      </c>
      <c r="D30" s="20">
        <v>0</v>
      </c>
      <c r="E30" s="51">
        <f t="shared" si="0"/>
        <v>6.69</v>
      </c>
      <c r="F30" s="51">
        <f t="shared" si="1"/>
        <v>8.9999999999999858E-2</v>
      </c>
    </row>
  </sheetData>
  <mergeCells count="1">
    <mergeCell ref="A1:E1"/>
  </mergeCells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1BB5-B163-364C-81A1-587E2FBB3D3A}">
  <dimension ref="A1:L40"/>
  <sheetViews>
    <sheetView workbookViewId="0">
      <selection activeCell="F24" sqref="F24"/>
    </sheetView>
  </sheetViews>
  <sheetFormatPr baseColWidth="10" defaultRowHeight="16" x14ac:dyDescent="0.2"/>
  <cols>
    <col min="1" max="1" width="28.6640625" customWidth="1"/>
    <col min="2" max="3" width="14.6640625" customWidth="1"/>
    <col min="4" max="4" width="15.33203125" customWidth="1"/>
    <col min="5" max="5" width="11.33203125" customWidth="1"/>
    <col min="7" max="7" width="12.6640625" bestFit="1" customWidth="1"/>
  </cols>
  <sheetData>
    <row r="1" spans="1:7" x14ac:dyDescent="0.2">
      <c r="A1" s="61" t="s">
        <v>169</v>
      </c>
      <c r="B1" s="61"/>
      <c r="C1" s="61"/>
      <c r="D1" s="61"/>
    </row>
    <row r="2" spans="1:7" x14ac:dyDescent="0.2">
      <c r="A2" s="24" t="s">
        <v>82</v>
      </c>
      <c r="B2" s="24" t="s">
        <v>170</v>
      </c>
    </row>
    <row r="3" spans="1:7" x14ac:dyDescent="0.2">
      <c r="A3" s="20" t="s">
        <v>171</v>
      </c>
      <c r="B3" s="23">
        <v>700</v>
      </c>
    </row>
    <row r="4" spans="1:7" x14ac:dyDescent="0.2">
      <c r="A4" s="20" t="s">
        <v>172</v>
      </c>
      <c r="B4" s="23">
        <v>100</v>
      </c>
    </row>
    <row r="5" spans="1:7" x14ac:dyDescent="0.2">
      <c r="A5" s="20" t="s">
        <v>173</v>
      </c>
      <c r="B5" s="23">
        <v>100</v>
      </c>
    </row>
    <row r="6" spans="1:7" x14ac:dyDescent="0.2">
      <c r="A6" s="20" t="s">
        <v>174</v>
      </c>
      <c r="B6" s="23">
        <f>SUM(B3:B5)</f>
        <v>900</v>
      </c>
    </row>
    <row r="8" spans="1:7" x14ac:dyDescent="0.2">
      <c r="A8" s="24" t="s">
        <v>175</v>
      </c>
      <c r="B8" s="24" t="s">
        <v>170</v>
      </c>
    </row>
    <row r="9" spans="1:7" x14ac:dyDescent="0.2">
      <c r="A9" s="20" t="s">
        <v>176</v>
      </c>
      <c r="B9" s="23">
        <v>700</v>
      </c>
    </row>
    <row r="10" spans="1:7" x14ac:dyDescent="0.2">
      <c r="A10" s="20" t="s">
        <v>177</v>
      </c>
      <c r="B10" s="23">
        <v>200</v>
      </c>
    </row>
    <row r="11" spans="1:7" x14ac:dyDescent="0.2">
      <c r="A11" s="20" t="s">
        <v>174</v>
      </c>
      <c r="B11" s="23">
        <f>SUM(B9:B10)</f>
        <v>900</v>
      </c>
    </row>
    <row r="13" spans="1:7" x14ac:dyDescent="0.2">
      <c r="A13" s="36" t="s">
        <v>178</v>
      </c>
    </row>
    <row r="14" spans="1:7" x14ac:dyDescent="0.2">
      <c r="A14" s="24" t="s">
        <v>25</v>
      </c>
      <c r="B14" s="24" t="s">
        <v>179</v>
      </c>
      <c r="C14" s="24" t="s">
        <v>180</v>
      </c>
      <c r="D14" s="24" t="s">
        <v>181</v>
      </c>
      <c r="E14" s="24" t="s">
        <v>182</v>
      </c>
      <c r="F14" s="24" t="s">
        <v>35</v>
      </c>
      <c r="G14" s="24" t="s">
        <v>183</v>
      </c>
    </row>
    <row r="15" spans="1:7" x14ac:dyDescent="0.2">
      <c r="A15" s="20">
        <v>1</v>
      </c>
      <c r="B15" s="20">
        <v>200</v>
      </c>
      <c r="C15" s="20">
        <v>12</v>
      </c>
      <c r="D15" s="20">
        <v>20</v>
      </c>
      <c r="E15" s="20">
        <v>180</v>
      </c>
      <c r="F15" s="20">
        <v>50</v>
      </c>
      <c r="G15" s="20">
        <f>B15/F15</f>
        <v>4</v>
      </c>
    </row>
    <row r="16" spans="1:7" x14ac:dyDescent="0.2">
      <c r="A16" s="20">
        <v>2</v>
      </c>
      <c r="B16" s="20">
        <v>180</v>
      </c>
      <c r="C16" s="20">
        <v>10.8</v>
      </c>
      <c r="D16" s="20">
        <v>20</v>
      </c>
      <c r="E16" s="20">
        <v>160</v>
      </c>
      <c r="F16" s="20">
        <v>53</v>
      </c>
      <c r="G16" s="28">
        <f t="shared" ref="G16:G19" si="0">B16/F16</f>
        <v>3.3962264150943398</v>
      </c>
    </row>
    <row r="17" spans="1:12" x14ac:dyDescent="0.2">
      <c r="A17" s="20">
        <v>3</v>
      </c>
      <c r="B17" s="20">
        <v>160</v>
      </c>
      <c r="C17" s="20">
        <v>9.6</v>
      </c>
      <c r="D17" s="20">
        <v>20</v>
      </c>
      <c r="E17" s="20">
        <v>140</v>
      </c>
      <c r="F17" s="20">
        <v>56</v>
      </c>
      <c r="G17" s="28">
        <f t="shared" si="0"/>
        <v>2.8571428571428572</v>
      </c>
    </row>
    <row r="18" spans="1:12" x14ac:dyDescent="0.2">
      <c r="A18" s="20">
        <v>4</v>
      </c>
      <c r="B18" s="20">
        <v>140</v>
      </c>
      <c r="C18" s="20">
        <v>8.4</v>
      </c>
      <c r="D18" s="20">
        <v>20</v>
      </c>
      <c r="E18" s="20">
        <v>120</v>
      </c>
      <c r="F18" s="20">
        <v>59</v>
      </c>
      <c r="G18" s="28">
        <f t="shared" si="0"/>
        <v>2.3728813559322033</v>
      </c>
    </row>
    <row r="19" spans="1:12" x14ac:dyDescent="0.2">
      <c r="A19" s="20">
        <v>5</v>
      </c>
      <c r="B19" s="20">
        <v>120</v>
      </c>
      <c r="C19" s="20">
        <v>7.2</v>
      </c>
      <c r="D19" s="20">
        <v>20</v>
      </c>
      <c r="E19" s="20">
        <v>100</v>
      </c>
      <c r="F19" s="20">
        <v>62</v>
      </c>
      <c r="G19" s="28">
        <f t="shared" si="0"/>
        <v>1.935483870967742</v>
      </c>
      <c r="H19" s="64" t="s">
        <v>184</v>
      </c>
      <c r="I19" s="64"/>
      <c r="J19" s="64"/>
      <c r="K19" s="64"/>
      <c r="L19" s="64"/>
    </row>
    <row r="21" spans="1:12" x14ac:dyDescent="0.2">
      <c r="A21" s="36" t="s">
        <v>185</v>
      </c>
    </row>
    <row r="22" spans="1:12" x14ac:dyDescent="0.2">
      <c r="A22" s="24" t="s">
        <v>82</v>
      </c>
      <c r="B22" s="24" t="s">
        <v>131</v>
      </c>
    </row>
    <row r="23" spans="1:12" x14ac:dyDescent="0.2">
      <c r="A23" s="20" t="s">
        <v>186</v>
      </c>
      <c r="B23" s="21">
        <f>Financials!B7</f>
        <v>50.399999999999977</v>
      </c>
    </row>
    <row r="24" spans="1:12" x14ac:dyDescent="0.2">
      <c r="A24" s="20" t="s">
        <v>187</v>
      </c>
      <c r="B24" s="56">
        <f>B15*0.06</f>
        <v>12</v>
      </c>
    </row>
    <row r="25" spans="1:12" x14ac:dyDescent="0.2">
      <c r="A25" s="20" t="s">
        <v>188</v>
      </c>
      <c r="B25" s="23">
        <f>F15-C15</f>
        <v>38</v>
      </c>
    </row>
    <row r="26" spans="1:12" x14ac:dyDescent="0.2">
      <c r="A26" s="20" t="s">
        <v>189</v>
      </c>
      <c r="B26" s="23">
        <f>B25*25%</f>
        <v>9.5</v>
      </c>
    </row>
    <row r="27" spans="1:12" x14ac:dyDescent="0.2">
      <c r="A27" s="20" t="s">
        <v>38</v>
      </c>
      <c r="B27" s="23">
        <f>B25-B26</f>
        <v>28.5</v>
      </c>
    </row>
    <row r="28" spans="1:12" x14ac:dyDescent="0.2">
      <c r="A28" s="20" t="s">
        <v>190</v>
      </c>
      <c r="B28" s="23">
        <f>B27-D15</f>
        <v>8.5</v>
      </c>
    </row>
    <row r="30" spans="1:12" x14ac:dyDescent="0.2">
      <c r="A30" s="36" t="s">
        <v>191</v>
      </c>
    </row>
    <row r="31" spans="1:12" x14ac:dyDescent="0.2">
      <c r="A31" s="24" t="s">
        <v>58</v>
      </c>
      <c r="B31" s="24" t="s">
        <v>131</v>
      </c>
    </row>
    <row r="32" spans="1:12" x14ac:dyDescent="0.2">
      <c r="A32" s="20" t="s">
        <v>192</v>
      </c>
      <c r="B32" s="20">
        <f>F19</f>
        <v>62</v>
      </c>
    </row>
    <row r="33" spans="1:3" x14ac:dyDescent="0.2">
      <c r="A33" s="20" t="s">
        <v>193</v>
      </c>
      <c r="B33" s="20">
        <v>9</v>
      </c>
      <c r="C33" t="s">
        <v>201</v>
      </c>
    </row>
    <row r="34" spans="1:3" x14ac:dyDescent="0.2">
      <c r="A34" s="20" t="s">
        <v>194</v>
      </c>
      <c r="B34" s="20">
        <f>B32*B33</f>
        <v>558</v>
      </c>
    </row>
    <row r="35" spans="1:3" x14ac:dyDescent="0.2">
      <c r="A35" s="20" t="s">
        <v>195</v>
      </c>
      <c r="B35" s="20">
        <v>100</v>
      </c>
    </row>
    <row r="36" spans="1:3" x14ac:dyDescent="0.2">
      <c r="A36" s="20" t="s">
        <v>196</v>
      </c>
      <c r="B36" s="20">
        <f>B34-B35</f>
        <v>458</v>
      </c>
    </row>
    <row r="37" spans="1:3" x14ac:dyDescent="0.2">
      <c r="A37" s="20" t="s">
        <v>197</v>
      </c>
      <c r="B37" s="39">
        <v>0.4</v>
      </c>
    </row>
    <row r="38" spans="1:3" x14ac:dyDescent="0.2">
      <c r="A38" s="20" t="s">
        <v>198</v>
      </c>
      <c r="B38" s="20">
        <f>B36*B37</f>
        <v>183.20000000000002</v>
      </c>
    </row>
    <row r="39" spans="1:3" x14ac:dyDescent="0.2">
      <c r="A39" s="20" t="s">
        <v>199</v>
      </c>
      <c r="B39" s="20">
        <v>700</v>
      </c>
    </row>
    <row r="40" spans="1:3" x14ac:dyDescent="0.2">
      <c r="A40" s="20" t="s">
        <v>200</v>
      </c>
      <c r="B40" s="20">
        <f>B38/B39</f>
        <v>0.26171428571428573</v>
      </c>
      <c r="C40" s="55"/>
    </row>
  </sheetData>
  <mergeCells count="2">
    <mergeCell ref="A1:D1"/>
    <mergeCell ref="H19:L19"/>
  </mergeCells>
  <pageMargins left="0.7" right="0.7" top="0.75" bottom="0.75" header="0.3" footer="0.3"/>
  <pageSetup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271C-53A0-2146-B2E5-D29FEA93801B}">
  <dimension ref="A1:C30"/>
  <sheetViews>
    <sheetView workbookViewId="0">
      <selection activeCell="D29" sqref="D29"/>
    </sheetView>
  </sheetViews>
  <sheetFormatPr baseColWidth="10" defaultRowHeight="16" x14ac:dyDescent="0.2"/>
  <cols>
    <col min="1" max="1" width="18.5" customWidth="1"/>
    <col min="2" max="2" width="80.6640625" customWidth="1"/>
    <col min="3" max="3" width="43.5" customWidth="1"/>
  </cols>
  <sheetData>
    <row r="1" spans="1:3" x14ac:dyDescent="0.2">
      <c r="A1" s="61" t="s">
        <v>202</v>
      </c>
      <c r="B1" s="61"/>
    </row>
    <row r="2" spans="1:3" x14ac:dyDescent="0.2">
      <c r="A2" s="24" t="s">
        <v>203</v>
      </c>
      <c r="B2" s="24" t="s">
        <v>204</v>
      </c>
      <c r="C2" s="24" t="s">
        <v>205</v>
      </c>
    </row>
    <row r="3" spans="1:3" x14ac:dyDescent="0.2">
      <c r="A3" s="20" t="s">
        <v>206</v>
      </c>
      <c r="B3" s="20" t="s">
        <v>207</v>
      </c>
      <c r="C3" s="20" t="s">
        <v>208</v>
      </c>
    </row>
    <row r="4" spans="1:3" x14ac:dyDescent="0.2">
      <c r="A4" s="20" t="s">
        <v>209</v>
      </c>
      <c r="B4" s="20" t="s">
        <v>210</v>
      </c>
      <c r="C4" s="20" t="s">
        <v>211</v>
      </c>
    </row>
    <row r="5" spans="1:3" x14ac:dyDescent="0.2">
      <c r="A5" s="20" t="s">
        <v>212</v>
      </c>
      <c r="B5" s="20" t="s">
        <v>213</v>
      </c>
      <c r="C5" s="20" t="s">
        <v>214</v>
      </c>
    </row>
    <row r="6" spans="1:3" x14ac:dyDescent="0.2">
      <c r="A6" s="20" t="s">
        <v>215</v>
      </c>
      <c r="B6" s="20" t="s">
        <v>216</v>
      </c>
      <c r="C6" s="20" t="s">
        <v>217</v>
      </c>
    </row>
    <row r="7" spans="1:3" x14ac:dyDescent="0.2">
      <c r="A7" s="20" t="s">
        <v>218</v>
      </c>
      <c r="B7" s="20" t="s">
        <v>220</v>
      </c>
      <c r="C7" s="20" t="s">
        <v>221</v>
      </c>
    </row>
    <row r="8" spans="1:3" x14ac:dyDescent="0.2">
      <c r="A8" s="20" t="s">
        <v>219</v>
      </c>
      <c r="B8" s="20" t="s">
        <v>220</v>
      </c>
      <c r="C8" s="20" t="s">
        <v>222</v>
      </c>
    </row>
    <row r="9" spans="1:3" x14ac:dyDescent="0.2">
      <c r="A9" s="20" t="s">
        <v>223</v>
      </c>
      <c r="B9" s="20" t="s">
        <v>224</v>
      </c>
      <c r="C9" s="20" t="s">
        <v>225</v>
      </c>
    </row>
    <row r="10" spans="1:3" x14ac:dyDescent="0.2">
      <c r="A10" s="20" t="s">
        <v>226</v>
      </c>
      <c r="B10" s="20" t="s">
        <v>227</v>
      </c>
      <c r="C10" s="20" t="s">
        <v>228</v>
      </c>
    </row>
    <row r="11" spans="1:3" x14ac:dyDescent="0.2">
      <c r="A11" s="20" t="s">
        <v>229</v>
      </c>
      <c r="B11" s="20" t="s">
        <v>230</v>
      </c>
      <c r="C11" s="20" t="s">
        <v>231</v>
      </c>
    </row>
    <row r="12" spans="1:3" x14ac:dyDescent="0.2">
      <c r="A12" s="20" t="s">
        <v>232</v>
      </c>
      <c r="B12" s="20" t="s">
        <v>233</v>
      </c>
      <c r="C12" s="20" t="s">
        <v>234</v>
      </c>
    </row>
    <row r="14" spans="1:3" x14ac:dyDescent="0.2">
      <c r="A14" s="65" t="s">
        <v>235</v>
      </c>
      <c r="B14" s="65"/>
    </row>
    <row r="15" spans="1:3" x14ac:dyDescent="0.2">
      <c r="A15" s="24" t="s">
        <v>236</v>
      </c>
      <c r="B15" s="24" t="s">
        <v>237</v>
      </c>
      <c r="C15" s="24" t="s">
        <v>238</v>
      </c>
    </row>
    <row r="16" spans="1:3" x14ac:dyDescent="0.2">
      <c r="A16" s="20" t="s">
        <v>239</v>
      </c>
      <c r="B16" s="20" t="s">
        <v>243</v>
      </c>
      <c r="C16" s="20" t="s">
        <v>248</v>
      </c>
    </row>
    <row r="17" spans="1:3" x14ac:dyDescent="0.2">
      <c r="A17" s="20" t="s">
        <v>209</v>
      </c>
      <c r="B17" s="20" t="s">
        <v>244</v>
      </c>
      <c r="C17" s="20" t="s">
        <v>249</v>
      </c>
    </row>
    <row r="18" spans="1:3" x14ac:dyDescent="0.2">
      <c r="A18" s="20" t="s">
        <v>240</v>
      </c>
      <c r="B18" s="20" t="s">
        <v>245</v>
      </c>
      <c r="C18" s="20" t="s">
        <v>250</v>
      </c>
    </row>
    <row r="19" spans="1:3" x14ac:dyDescent="0.2">
      <c r="A19" s="20" t="s">
        <v>241</v>
      </c>
      <c r="B19" s="20" t="s">
        <v>246</v>
      </c>
      <c r="C19" s="20" t="s">
        <v>251</v>
      </c>
    </row>
    <row r="20" spans="1:3" x14ac:dyDescent="0.2">
      <c r="A20" s="20" t="s">
        <v>242</v>
      </c>
      <c r="B20" s="20" t="s">
        <v>247</v>
      </c>
      <c r="C20" s="20" t="s">
        <v>252</v>
      </c>
    </row>
    <row r="22" spans="1:3" x14ac:dyDescent="0.2">
      <c r="A22" s="61" t="s">
        <v>253</v>
      </c>
      <c r="B22" s="61"/>
    </row>
    <row r="23" spans="1:3" x14ac:dyDescent="0.2">
      <c r="A23" s="24" t="s">
        <v>82</v>
      </c>
      <c r="B23" s="24" t="s">
        <v>254</v>
      </c>
    </row>
    <row r="24" spans="1:3" x14ac:dyDescent="0.2">
      <c r="A24" s="20" t="s">
        <v>255</v>
      </c>
      <c r="B24" s="20" t="s">
        <v>256</v>
      </c>
    </row>
    <row r="25" spans="1:3" x14ac:dyDescent="0.2">
      <c r="A25" s="20" t="s">
        <v>257</v>
      </c>
      <c r="B25" s="20" t="s">
        <v>258</v>
      </c>
    </row>
    <row r="26" spans="1:3" x14ac:dyDescent="0.2">
      <c r="A26" s="20" t="s">
        <v>259</v>
      </c>
      <c r="B26" s="20" t="s">
        <v>260</v>
      </c>
    </row>
    <row r="27" spans="1:3" x14ac:dyDescent="0.2">
      <c r="A27" s="20" t="s">
        <v>261</v>
      </c>
      <c r="B27" s="20" t="s">
        <v>262</v>
      </c>
    </row>
    <row r="28" spans="1:3" x14ac:dyDescent="0.2">
      <c r="A28" s="20" t="s">
        <v>263</v>
      </c>
      <c r="B28" s="20" t="s">
        <v>264</v>
      </c>
    </row>
    <row r="29" spans="1:3" x14ac:dyDescent="0.2">
      <c r="A29" s="20" t="s">
        <v>265</v>
      </c>
      <c r="B29" s="20" t="s">
        <v>266</v>
      </c>
    </row>
    <row r="30" spans="1:3" x14ac:dyDescent="0.2">
      <c r="A30" s="20" t="s">
        <v>267</v>
      </c>
      <c r="B30" s="20" t="s">
        <v>268</v>
      </c>
    </row>
  </sheetData>
  <mergeCells count="3">
    <mergeCell ref="A1:B1"/>
    <mergeCell ref="A22:B22"/>
    <mergeCell ref="A14:B1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Financials</vt:lpstr>
      <vt:lpstr>WACC_Calc</vt:lpstr>
      <vt:lpstr>Trading Comps</vt:lpstr>
      <vt:lpstr>Precedent Transactions</vt:lpstr>
      <vt:lpstr>DCF Analysis</vt:lpstr>
      <vt:lpstr>Valuation Summary</vt:lpstr>
      <vt:lpstr>Strategic m&amp;A model</vt:lpstr>
      <vt:lpstr>Recap LBO Model</vt:lpstr>
      <vt:lpstr>Strategic sale vs Recap 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Dipekshya Karki</dc:creator>
  <cp:lastModifiedBy>Dipekshya Karki</cp:lastModifiedBy>
  <cp:lastPrinted>2025-11-17T18:34:13Z</cp:lastPrinted>
  <dcterms:created xsi:type="dcterms:W3CDTF">2025-10-22T01:03:29Z</dcterms:created>
  <dcterms:modified xsi:type="dcterms:W3CDTF">2025-11-19T03:00:35Z</dcterms:modified>
</cp:coreProperties>
</file>